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MASTER" sheetId="1" r:id="rId1"/>
    <sheet name="BREBES" sheetId="2" r:id="rId2"/>
    <sheet name="TASIKMALAYA" sheetId="3" r:id="rId3"/>
    <sheet name="PURWOKERTO" sheetId="4" r:id="rId4"/>
    <sheet name="SUKOHARJO" sheetId="5" r:id="rId5"/>
    <sheet name="SRAGEN" sheetId="6" r:id="rId6"/>
    <sheet name="GROBOG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<sst xmlns="http://schemas.openxmlformats.org/spreadsheetml/2006/main" count="298" uniqueCount="60">
  <si>
    <t>Bill Of Quantities FWA PROJECT</t>
  </si>
  <si>
    <t>NO</t>
  </si>
  <si>
    <t>Descrpition</t>
  </si>
  <si>
    <t>Bill Of Quantities</t>
  </si>
  <si>
    <t>UOM</t>
  </si>
  <si>
    <t>TOTAL SITE</t>
  </si>
  <si>
    <t>BREBES</t>
  </si>
  <si>
    <t>TASIKMALAYA</t>
  </si>
  <si>
    <t>PURWOKERTO</t>
  </si>
  <si>
    <t>SUKOHARJO</t>
  </si>
  <si>
    <t>SRAGEN</t>
  </si>
  <si>
    <t>GROBOGAN</t>
  </si>
  <si>
    <t>TOTAL PRICE</t>
  </si>
  <si>
    <t>A</t>
  </si>
  <si>
    <t>Service</t>
  </si>
  <si>
    <t>Service: Penarikan Kabel 24 core Distribution</t>
  </si>
  <si>
    <t>meter</t>
  </si>
  <si>
    <t>Service: Pemasangan Tiang 7m (4"/3mm)+Include pemasangan asesoris KU dan Cor Pondasi sesuai standart</t>
  </si>
  <si>
    <t>btg</t>
  </si>
  <si>
    <t>Service: Pemasangan Tiang 9m (4"/3mm)+Include pemasangan asesoris KU dan Cor Pondasi sesuai standart</t>
  </si>
  <si>
    <t>Service: Pemasangan Xframe/ Slack Hanger</t>
  </si>
  <si>
    <t>unit</t>
  </si>
  <si>
    <t>Service: Pemasangan ODP 24 - 144 core Lebih Include Labeling - Feeder</t>
  </si>
  <si>
    <t>pcs</t>
  </si>
  <si>
    <t>Service: Pemasangan Closure 24 - 144 core lebih Include Labeling - Feeder</t>
  </si>
  <si>
    <t>titik</t>
  </si>
  <si>
    <t>Service: Splicing core Include Labeling (Berikut Testing OTDR &amp; OPM) - Feeder</t>
  </si>
  <si>
    <t>core</t>
  </si>
  <si>
    <t>ADD On</t>
  </si>
  <si>
    <t>Add On: Transportation Accomodation</t>
  </si>
  <si>
    <t>site</t>
  </si>
  <si>
    <t>Add On: Survey Lapangan Backbone &lt; 1 Km</t>
  </si>
  <si>
    <t>Add On: Pengurusan Izin Kordinasi PU (exclude retribusi )</t>
  </si>
  <si>
    <t>Add On : Homebase &amp; Warehouse</t>
  </si>
  <si>
    <t>Add On: As Plan Drawing, As Built Drawing, dan  Gambar Teknis</t>
  </si>
  <si>
    <t>Add On : Kordinasi Ormas Lingkungan &amp; Privat area</t>
  </si>
  <si>
    <t>Subtotal PO</t>
  </si>
  <si>
    <t>TOTAL</t>
  </si>
  <si>
    <t>Bill Of Quantities FWA PROJECT SEGMENT : BREBES (CIREBON - BREBES - TEGAL - PEKALONGAN - INDRAMAYU - SEMARANG)</t>
  </si>
  <si>
    <t>CIREBON</t>
  </si>
  <si>
    <t>INDRAMAYU</t>
  </si>
  <si>
    <t>TEGAL-PEKALONGAN</t>
  </si>
  <si>
    <t>SEMARANG</t>
  </si>
  <si>
    <t>B</t>
  </si>
  <si>
    <t>Bill Of Quantities FWA PROJECT SEGMENT : TASIKMALAYA (TASIKMALAYA - BANJAR)</t>
  </si>
  <si>
    <t>BANJAR</t>
  </si>
  <si>
    <t>CIAMIS</t>
  </si>
  <si>
    <t>Bill Of Quantities FWA PROJECT SEGMENT : PURWOKERTO (BANYUMAS - CILACAP - KEBUMEN - PURWOREJO)</t>
  </si>
  <si>
    <t>BANYUMAS</t>
  </si>
  <si>
    <t>CILACAP</t>
  </si>
  <si>
    <t>KEBUMEN</t>
  </si>
  <si>
    <t>PURWOREJO</t>
  </si>
  <si>
    <t>Bill Of Quantities FWA PROJECT SEGMENT : SUKOHARJO (SUKOHARJO - KLATEN - SURAKARTA - WONOGIRI)</t>
  </si>
  <si>
    <t>KLATEN</t>
  </si>
  <si>
    <t>SURAKARTA</t>
  </si>
  <si>
    <t>WONOGIRI</t>
  </si>
  <si>
    <t>Bill Of Quantities FWA PROJECT SEGMENT : SRAGEN (SRAGEN - KARANG ANYAR)</t>
  </si>
  <si>
    <t>KARANGANYAR</t>
  </si>
  <si>
    <t>Bill Of Quantities FWA PROJECT SEGMENT : GROBOGAN (GROBOGAN - BLORA)</t>
  </si>
  <si>
    <t>BLORA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</si>
</sst>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&quot;Rp&quot;* #,##0_);_(&quot;Rp&quot;* \(#,##0\);_(&quot;Rp&quot;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-[$IDR]\ * #,##0_-;\-[$IDR]\ * #,##0_-;_-[$IDR]\ * &quot;-&quot;_-;_-@_-"/>
    <numFmt numFmtId="180" formatCode="_(* #,##0.00_);_(* \(#,##0.00\);_(* &quot;-&quot;_);_(@_)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b/>
      <sz val="12"/>
      <name val="Calibri"/>
      <charset val="134"/>
    </font>
    <font>
      <b/>
      <sz val="11"/>
      <color theme="1"/>
      <name val="Arial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mbri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8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5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6" borderId="7">
      <alignment vertical="center"/>
    </xf>
    <xf numFmtId="0" fontId="21" fillId="7" borderId="8">
      <alignment vertical="center"/>
    </xf>
    <xf numFmtId="0" fontId="22" fillId="7" borderId="7">
      <alignment vertical="center"/>
    </xf>
    <xf numFmtId="0" fontId="23" fillId="8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0" fillId="2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41" fontId="0" fillId="0" borderId="0"/>
    <xf numFmtId="0" fontId="0" fillId="0" borderId="0"/>
    <xf numFmtId="0" fontId="31" fillId="0" borderId="0"/>
    <xf numFmtId="0" fontId="0" fillId="0" borderId="0"/>
  </cellStyleXfs>
  <cellXfs count="5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51" applyFont="1" applyFill="1" applyBorder="1" applyAlignment="1">
      <alignment horizontal="center" vertical="center"/>
    </xf>
    <xf numFmtId="0" fontId="6" fillId="2" borderId="1" xfId="5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center" vertical="center"/>
    </xf>
    <xf numFmtId="179" fontId="9" fillId="2" borderId="1" xfId="51" applyNumberFormat="1" applyFont="1" applyFill="1" applyBorder="1" applyAlignment="1">
      <alignment horizontal="center" vertical="center"/>
    </xf>
    <xf numFmtId="179" fontId="5" fillId="2" borderId="1" xfId="5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51" applyFont="1" applyBorder="1" applyAlignment="1">
      <alignment wrapText="1"/>
    </xf>
    <xf numFmtId="0" fontId="1" fillId="0" borderId="1" xfId="51" applyBorder="1" applyAlignment="1">
      <alignment vertical="center"/>
    </xf>
    <xf numFmtId="0" fontId="1" fillId="0" borderId="1" xfId="51" applyBorder="1" applyAlignment="1">
      <alignment horizontal="center" vertical="center"/>
    </xf>
    <xf numFmtId="179" fontId="3" fillId="0" borderId="1" xfId="51" applyNumberFormat="1" applyFont="1" applyBorder="1" applyAlignment="1">
      <alignment vertical="center"/>
    </xf>
    <xf numFmtId="179" fontId="1" fillId="0" borderId="1" xfId="51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180" fontId="3" fillId="0" borderId="1" xfId="4" applyNumberFormat="1" applyFont="1" applyBorder="1" applyAlignment="1">
      <alignment vertical="center"/>
    </xf>
    <xf numFmtId="0" fontId="1" fillId="0" borderId="1" xfId="51" applyBorder="1" applyAlignment="1">
      <alignment vertical="center" wrapText="1"/>
    </xf>
    <xf numFmtId="0" fontId="4" fillId="0" borderId="1" xfId="51" applyFont="1" applyBorder="1" applyAlignment="1">
      <alignment vertical="center" wrapText="1"/>
    </xf>
    <xf numFmtId="0" fontId="4" fillId="0" borderId="1" xfId="5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9" fontId="4" fillId="0" borderId="1" xfId="51" applyNumberFormat="1" applyFont="1" applyBorder="1" applyAlignment="1">
      <alignment vertical="center"/>
    </xf>
    <xf numFmtId="179" fontId="4" fillId="0" borderId="1" xfId="51" applyNumberFormat="1" applyFont="1" applyBorder="1" applyAlignment="1">
      <alignment horizontal="center" vertical="center"/>
    </xf>
    <xf numFmtId="179" fontId="9" fillId="4" borderId="1" xfId="51" applyNumberFormat="1" applyFont="1" applyFill="1" applyBorder="1" applyAlignment="1">
      <alignment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79" fontId="9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179" fontId="3" fillId="0" borderId="1" xfId="0" applyNumberFormat="1" applyFont="1" applyBorder="1" applyAlignment="1">
      <alignment vertical="center"/>
    </xf>
    <xf numFmtId="179" fontId="1" fillId="0" borderId="1" xfId="0" applyNumberFormat="1" applyFont="1" applyBorder="1" applyAlignment="1">
      <alignment vertical="center"/>
    </xf>
    <xf numFmtId="180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9" fontId="4" fillId="0" borderId="1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horizontal="center" vertical="center"/>
    </xf>
    <xf numFmtId="179" fontId="9" fillId="4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5" fillId="2" borderId="1" xfId="51" applyFont="1" applyFill="1" applyBorder="1" applyAlignment="1">
      <alignment vertical="center"/>
    </xf>
    <xf numFmtId="179" fontId="4" fillId="2" borderId="1" xfId="51" applyNumberFormat="1" applyFont="1" applyFill="1" applyBorder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</cellXfs>
  <cellStyles count="53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Comma [0] 2" xfId="49"/>
    <cellStyle name="Normal 2" xfId="50"/>
    <cellStyle name="Normal 4" xfId="51"/>
    <cellStyle name="Normal 5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E10" sqref="E10"/>
    </sheetView>
  </sheetViews>
  <sheetFormatPr defaultColWidth="26.7777777777778" defaultRowHeight="14.4"/>
  <cols>
    <col min="1" max="1" width="4.33333333333333" style="31" customWidth="1"/>
    <col min="2" max="2" width="47" style="31" customWidth="1"/>
    <col min="3" max="3" width="6.55555555555556" style="31" customWidth="1"/>
    <col min="4" max="4" width="11.2222222222222" style="31" customWidth="1"/>
    <col min="5" max="5" width="12.8888888888889" style="31" customWidth="1"/>
    <col min="6" max="7" width="17.1111111111111" style="31" customWidth="1"/>
    <col min="8" max="8" width="15" style="31" customWidth="1"/>
    <col min="9" max="9" width="10.2222222222222" style="31" customWidth="1"/>
    <col min="10" max="10" width="14.1111111111111" style="31" customWidth="1"/>
    <col min="11" max="12" width="13.1111111111111" style="31" customWidth="1"/>
    <col min="13" max="16383" width="26.7777777777778" style="31" customWidth="1"/>
  </cols>
  <sheetData>
    <row r="1" spans="1:12">
      <c r="A1" s="5" t="s">
        <v>0</v>
      </c>
    </row>
    <row r="2" spans="1:12">
      <c r="A2" s="6" t="s">
        <v>1</v>
      </c>
      <c r="B2" s="48" t="s">
        <v>2</v>
      </c>
      <c r="C2" s="32" t="s">
        <v>3</v>
      </c>
      <c r="D2" s="9"/>
      <c r="E2" s="9"/>
      <c r="F2" s="9"/>
      <c r="G2" s="9"/>
      <c r="H2" s="9"/>
      <c r="I2" s="9"/>
      <c r="J2" s="9"/>
      <c r="K2" s="9"/>
      <c r="L2" s="10"/>
    </row>
    <row r="3" spans="1:12">
      <c r="A3" s="6"/>
      <c r="B3" s="48"/>
      <c r="C3" s="6" t="s">
        <v>4</v>
      </c>
      <c r="D3" s="6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49"/>
      <c r="L3" s="13" t="s">
        <v>12</v>
      </c>
    </row>
    <row r="4" ht="15.6" customHeight="1" spans="1:12">
      <c r="A4" s="14" t="s">
        <v>13</v>
      </c>
      <c r="B4" s="15" t="s">
        <v>14</v>
      </c>
      <c r="C4" s="16"/>
      <c r="D4" s="16"/>
      <c r="E4" s="17"/>
      <c r="F4" s="17"/>
      <c r="G4" s="17"/>
      <c r="H4" s="17"/>
      <c r="I4" s="50"/>
      <c r="J4" s="50"/>
      <c r="K4" s="18"/>
      <c r="L4" s="19"/>
    </row>
    <row r="5" ht="33" customHeight="1" spans="1:12">
      <c r="A5" s="20">
        <v>1</v>
      </c>
      <c r="B5" s="21" t="s">
        <v>15</v>
      </c>
      <c r="C5" s="22" t="s">
        <v>16</v>
      </c>
      <c r="D5" s="17">
        <f t="shared" ref="D5:D18" si="0">SUM(E5:J5)</f>
        <v>200799</v>
      </c>
      <c r="E5" s="20">
        <f>BREBES!D5</f>
        <v>44600</v>
      </c>
      <c r="F5" s="20">
        <f>TASIKMALAYA!D5</f>
        <v>20300</v>
      </c>
      <c r="G5" s="20">
        <f>PURWOKERTO!D5</f>
        <v>36600</v>
      </c>
      <c r="H5" s="20">
        <f>SUKOHARJO!D5</f>
        <v>36100</v>
      </c>
      <c r="I5" s="46">
        <f>SRAGEN!D5</f>
        <v>53000</v>
      </c>
      <c r="J5" s="46">
        <f>GROBOGAN!D5</f>
        <v>10199</v>
      </c>
      <c r="K5" s="23"/>
      <c r="L5" s="19">
        <f t="shared" ref="L5:L18" si="1">K5*D5</f>
        <v>0</v>
      </c>
    </row>
    <row r="6" ht="33" customHeight="1" spans="1:12">
      <c r="A6" s="20">
        <v>2</v>
      </c>
      <c r="B6" s="24" t="s">
        <v>17</v>
      </c>
      <c r="C6" s="17" t="s">
        <v>18</v>
      </c>
      <c r="D6" s="17">
        <f t="shared" si="0"/>
        <v>3274</v>
      </c>
      <c r="E6" s="20">
        <f>BREBES!D6</f>
        <v>734</v>
      </c>
      <c r="F6" s="20">
        <f>TASIKMALAYA!D6</f>
        <v>339</v>
      </c>
      <c r="G6" s="20">
        <f>PURWOKERTO!D6</f>
        <v>584</v>
      </c>
      <c r="H6" s="20">
        <f>SUKOHARJO!D6</f>
        <v>588</v>
      </c>
      <c r="I6" s="46">
        <f>SRAGEN!D6</f>
        <v>866</v>
      </c>
      <c r="J6" s="46">
        <f>GROBOGAN!D6</f>
        <v>163</v>
      </c>
      <c r="K6" s="23"/>
      <c r="L6" s="19">
        <f t="shared" si="1"/>
        <v>0</v>
      </c>
    </row>
    <row r="7" ht="33" customHeight="1" spans="1:12">
      <c r="A7" s="20">
        <v>3</v>
      </c>
      <c r="B7" s="24" t="s">
        <v>19</v>
      </c>
      <c r="C7" s="17" t="s">
        <v>18</v>
      </c>
      <c r="D7" s="17">
        <f t="shared" si="0"/>
        <v>790</v>
      </c>
      <c r="E7" s="20">
        <f>BREBES!D7</f>
        <v>183</v>
      </c>
      <c r="F7" s="20">
        <f>TASIKMALAYA!D7</f>
        <v>87</v>
      </c>
      <c r="G7" s="20">
        <f>PURWOKERTO!D7</f>
        <v>146</v>
      </c>
      <c r="H7" s="20">
        <f>SUKOHARJO!D7</f>
        <v>150</v>
      </c>
      <c r="I7" s="46">
        <f>SRAGEN!D7</f>
        <v>188</v>
      </c>
      <c r="J7" s="46">
        <f>GROBOGAN!D7</f>
        <v>36</v>
      </c>
      <c r="K7" s="23"/>
      <c r="L7" s="19">
        <f t="shared" si="1"/>
        <v>0</v>
      </c>
    </row>
    <row r="8" ht="33" customHeight="1" spans="1:12">
      <c r="A8" s="20">
        <v>4</v>
      </c>
      <c r="B8" s="24" t="s">
        <v>20</v>
      </c>
      <c r="C8" s="17" t="s">
        <v>21</v>
      </c>
      <c r="D8" s="17">
        <f t="shared" si="0"/>
        <v>445</v>
      </c>
      <c r="E8" s="20">
        <v>97</v>
      </c>
      <c r="F8" s="20">
        <v>44</v>
      </c>
      <c r="G8" s="20">
        <v>66</v>
      </c>
      <c r="H8" s="20">
        <v>149</v>
      </c>
      <c r="I8" s="46">
        <v>62</v>
      </c>
      <c r="J8" s="46">
        <v>27</v>
      </c>
      <c r="K8" s="23"/>
      <c r="L8" s="19">
        <f t="shared" si="1"/>
        <v>0</v>
      </c>
    </row>
    <row r="9" ht="33" customHeight="1" spans="1:12">
      <c r="A9" s="20">
        <v>5</v>
      </c>
      <c r="B9" s="21" t="s">
        <v>22</v>
      </c>
      <c r="C9" s="17" t="s">
        <v>23</v>
      </c>
      <c r="D9" s="17">
        <f t="shared" si="0"/>
        <v>130</v>
      </c>
      <c r="E9" s="20">
        <v>30</v>
      </c>
      <c r="F9" s="20">
        <v>10</v>
      </c>
      <c r="G9" s="20">
        <v>19</v>
      </c>
      <c r="H9" s="1">
        <v>49</v>
      </c>
      <c r="I9" s="46">
        <v>15</v>
      </c>
      <c r="J9" s="46">
        <v>7</v>
      </c>
      <c r="K9" s="23"/>
      <c r="L9" s="19">
        <f t="shared" si="1"/>
        <v>0</v>
      </c>
    </row>
    <row r="10" ht="33" customHeight="1" spans="1:12">
      <c r="A10" s="20">
        <v>6</v>
      </c>
      <c r="B10" s="21" t="s">
        <v>24</v>
      </c>
      <c r="C10" s="17" t="s">
        <v>25</v>
      </c>
      <c r="D10" s="17">
        <f t="shared" si="0"/>
        <v>0</v>
      </c>
      <c r="E10" s="20">
        <f>BREBES!D10</f>
        <v>0</v>
      </c>
      <c r="F10" s="20">
        <f>TASIKMALAYA!D10</f>
        <v>0</v>
      </c>
      <c r="G10" s="20">
        <f>PURWOKERTO!D10</f>
        <v>0</v>
      </c>
      <c r="H10" s="20">
        <f>SUKOHARJO!D10</f>
        <v>0</v>
      </c>
      <c r="I10" s="46">
        <f>SRAGEN!D10</f>
        <v>0</v>
      </c>
      <c r="J10" s="46">
        <f>GROBOGAN!D10</f>
        <v>0</v>
      </c>
      <c r="K10" s="23"/>
      <c r="L10" s="19">
        <f t="shared" si="1"/>
        <v>0</v>
      </c>
    </row>
    <row r="11" ht="33" customHeight="1" spans="1:12">
      <c r="A11" s="20">
        <v>7</v>
      </c>
      <c r="B11" s="21" t="s">
        <v>26</v>
      </c>
      <c r="C11" s="17" t="s">
        <v>27</v>
      </c>
      <c r="D11" s="17">
        <f t="shared" si="0"/>
        <v>0</v>
      </c>
      <c r="E11" s="20">
        <f>BREBES!D11</f>
        <v>0</v>
      </c>
      <c r="F11" s="20">
        <f>TASIKMALAYA!D11</f>
        <v>0</v>
      </c>
      <c r="G11" s="20">
        <f>PURWOKERTO!D11</f>
        <v>0</v>
      </c>
      <c r="H11" s="20">
        <f>SUKOHARJO!D11</f>
        <v>0</v>
      </c>
      <c r="I11" s="46">
        <f>SRAGEN!D11</f>
        <v>0</v>
      </c>
      <c r="J11" s="46">
        <f>GROBOGAN!D11</f>
        <v>0</v>
      </c>
      <c r="K11" s="23"/>
      <c r="L11" s="19">
        <f t="shared" si="1"/>
        <v>0</v>
      </c>
    </row>
    <row r="12" ht="33" customHeight="1" spans="1:12">
      <c r="A12" s="20">
        <v>8</v>
      </c>
      <c r="B12" s="25" t="s">
        <v>28</v>
      </c>
      <c r="C12" s="26"/>
      <c r="D12" s="17">
        <f t="shared" si="0"/>
        <v>0</v>
      </c>
      <c r="E12" s="20">
        <f>BREBES!D12</f>
        <v>0</v>
      </c>
      <c r="F12" s="20">
        <f>TASIKMALAYA!D12</f>
        <v>0</v>
      </c>
      <c r="G12" s="20">
        <f>PURWOKERTO!D12</f>
        <v>0</v>
      </c>
      <c r="H12" s="20">
        <f>SUKOHARJO!D12</f>
        <v>0</v>
      </c>
      <c r="I12" s="46">
        <f>SRAGEN!D12</f>
        <v>0</v>
      </c>
      <c r="J12" s="46">
        <f>GROBOGAN!D12</f>
        <v>0</v>
      </c>
      <c r="K12" s="23"/>
      <c r="L12" s="19">
        <f t="shared" si="1"/>
        <v>0</v>
      </c>
    </row>
    <row r="13" ht="33" customHeight="1" spans="1:12">
      <c r="A13" s="20">
        <v>9</v>
      </c>
      <c r="B13" s="16" t="s">
        <v>29</v>
      </c>
      <c r="C13" s="17" t="s">
        <v>30</v>
      </c>
      <c r="D13" s="17">
        <f t="shared" si="0"/>
        <v>0</v>
      </c>
      <c r="E13" s="20">
        <f>BREBES!D13</f>
        <v>0</v>
      </c>
      <c r="F13" s="20">
        <f>TASIKMALAYA!D13</f>
        <v>0</v>
      </c>
      <c r="G13" s="20">
        <f>PURWOKERTO!D13</f>
        <v>0</v>
      </c>
      <c r="H13" s="20">
        <f>SUKOHARJO!D13</f>
        <v>0</v>
      </c>
      <c r="I13" s="46">
        <f>SRAGEN!D13</f>
        <v>0</v>
      </c>
      <c r="J13" s="46">
        <f>GROBOGAN!D13</f>
        <v>0</v>
      </c>
      <c r="K13" s="23"/>
      <c r="L13" s="19">
        <f t="shared" si="1"/>
        <v>0</v>
      </c>
    </row>
    <row r="14" ht="33" customHeight="1" spans="1:12">
      <c r="A14" s="20">
        <v>10</v>
      </c>
      <c r="B14" s="16" t="s">
        <v>31</v>
      </c>
      <c r="C14" s="17" t="s">
        <v>16</v>
      </c>
      <c r="D14" s="17">
        <f t="shared" si="0"/>
        <v>0</v>
      </c>
      <c r="E14" s="20">
        <f>BREBES!D14</f>
        <v>0</v>
      </c>
      <c r="F14" s="20">
        <f>TASIKMALAYA!D14</f>
        <v>0</v>
      </c>
      <c r="G14" s="20">
        <f>PURWOKERTO!D14</f>
        <v>0</v>
      </c>
      <c r="H14" s="20">
        <f>SUKOHARJO!D14</f>
        <v>0</v>
      </c>
      <c r="I14" s="46">
        <f>SRAGEN!D14</f>
        <v>0</v>
      </c>
      <c r="J14" s="46">
        <f>GROBOGAN!D14</f>
        <v>0</v>
      </c>
      <c r="K14" s="23"/>
      <c r="L14" s="19">
        <f t="shared" si="1"/>
        <v>0</v>
      </c>
    </row>
    <row r="15" ht="33" customHeight="1" spans="1:12">
      <c r="A15" s="20">
        <v>11</v>
      </c>
      <c r="B15" s="24" t="s">
        <v>32</v>
      </c>
      <c r="C15" s="17" t="s">
        <v>16</v>
      </c>
      <c r="D15" s="17">
        <f t="shared" si="0"/>
        <v>0</v>
      </c>
      <c r="E15" s="20">
        <f>BREBES!D15</f>
        <v>0</v>
      </c>
      <c r="F15" s="20">
        <f>TASIKMALAYA!D15</f>
        <v>0</v>
      </c>
      <c r="G15" s="20">
        <f>PURWOKERTO!D15</f>
        <v>0</v>
      </c>
      <c r="H15" s="20">
        <f>SUKOHARJO!D15</f>
        <v>0</v>
      </c>
      <c r="I15" s="46">
        <f>SRAGEN!D15</f>
        <v>0</v>
      </c>
      <c r="J15" s="46">
        <f>GROBOGAN!D15</f>
        <v>0</v>
      </c>
      <c r="K15" s="23"/>
      <c r="L15" s="19">
        <f t="shared" si="1"/>
        <v>0</v>
      </c>
    </row>
    <row r="16" ht="33" customHeight="1" spans="1:12">
      <c r="A16" s="20">
        <v>12</v>
      </c>
      <c r="B16" s="24" t="s">
        <v>33</v>
      </c>
      <c r="C16" s="17" t="s">
        <v>30</v>
      </c>
      <c r="D16" s="17">
        <f t="shared" si="0"/>
        <v>0</v>
      </c>
      <c r="E16" s="20">
        <f>BREBES!D16</f>
        <v>0</v>
      </c>
      <c r="F16" s="20">
        <f>TASIKMALAYA!D16</f>
        <v>0</v>
      </c>
      <c r="G16" s="20">
        <f>PURWOKERTO!D16</f>
        <v>0</v>
      </c>
      <c r="H16" s="20">
        <f>SUKOHARJO!D16</f>
        <v>0</v>
      </c>
      <c r="I16" s="46">
        <f>SRAGEN!D16</f>
        <v>0</v>
      </c>
      <c r="J16" s="46">
        <f>GROBOGAN!D16</f>
        <v>0</v>
      </c>
      <c r="K16" s="23"/>
      <c r="L16" s="19">
        <f t="shared" si="1"/>
        <v>0</v>
      </c>
    </row>
    <row r="17" ht="33" customHeight="1" spans="1:12">
      <c r="A17" s="20">
        <v>13</v>
      </c>
      <c r="B17" s="24" t="s">
        <v>34</v>
      </c>
      <c r="C17" s="17" t="s">
        <v>30</v>
      </c>
      <c r="D17" s="17">
        <f t="shared" si="0"/>
        <v>0</v>
      </c>
      <c r="E17" s="20">
        <f>BREBES!D17</f>
        <v>0</v>
      </c>
      <c r="F17" s="20">
        <f>TASIKMALAYA!D17</f>
        <v>0</v>
      </c>
      <c r="G17" s="20">
        <f>PURWOKERTO!D17</f>
        <v>0</v>
      </c>
      <c r="H17" s="20">
        <f>SUKOHARJO!D17</f>
        <v>0</v>
      </c>
      <c r="I17" s="46">
        <f>SRAGEN!D17</f>
        <v>0</v>
      </c>
      <c r="J17" s="46">
        <f>GROBOGAN!D17</f>
        <v>0</v>
      </c>
      <c r="K17" s="23"/>
      <c r="L17" s="19">
        <f t="shared" si="1"/>
        <v>0</v>
      </c>
    </row>
    <row r="18" ht="33" customHeight="1" spans="1:12">
      <c r="A18" s="20">
        <v>14</v>
      </c>
      <c r="B18" s="16" t="s">
        <v>35</v>
      </c>
      <c r="C18" s="17" t="s">
        <v>16</v>
      </c>
      <c r="D18" s="17">
        <f t="shared" si="0"/>
        <v>0</v>
      </c>
      <c r="E18" s="20">
        <f>BREBES!D18</f>
        <v>0</v>
      </c>
      <c r="F18" s="20">
        <f>TASIKMALAYA!D18</f>
        <v>0</v>
      </c>
      <c r="G18" s="20">
        <f>PURWOKERTO!D18</f>
        <v>0</v>
      </c>
      <c r="H18" s="20">
        <f>SUKOHARJO!D18</f>
        <v>0</v>
      </c>
      <c r="I18" s="46">
        <f>SRAGEN!D18</f>
        <v>0</v>
      </c>
      <c r="J18" s="46">
        <f>GROBOGAN!D18</f>
        <v>0</v>
      </c>
      <c r="K18" s="23"/>
      <c r="L18" s="19">
        <f t="shared" si="1"/>
        <v>0</v>
      </c>
    </row>
    <row r="19" ht="15.6" customHeight="1" spans="1:12">
      <c r="A19" s="20"/>
      <c r="B19" s="24"/>
      <c r="C19" s="17"/>
      <c r="D19" s="17"/>
      <c r="E19" s="27"/>
      <c r="F19" s="20"/>
      <c r="G19" s="20"/>
      <c r="H19" s="20"/>
      <c r="I19" s="46"/>
      <c r="J19" s="46"/>
      <c r="K19" s="23"/>
      <c r="L19" s="19"/>
    </row>
    <row r="20" ht="15.6" customHeight="1" spans="1:12">
      <c r="A20" s="1"/>
      <c r="B20" s="2"/>
      <c r="C20" s="3"/>
      <c r="D20" s="3"/>
      <c r="E20" s="28" t="s">
        <v>36</v>
      </c>
      <c r="F20" s="29"/>
      <c r="G20" s="29"/>
      <c r="H20" s="29"/>
      <c r="I20" s="51"/>
      <c r="J20" s="51"/>
      <c r="K20" s="30" t="s">
        <v>37</v>
      </c>
      <c r="L20" s="28">
        <f>SUM(L5:L19)</f>
        <v>0</v>
      </c>
    </row>
  </sheetData>
  <mergeCells count="2">
    <mergeCell ref="A1:L1"/>
    <mergeCell ref="C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A5" workbookViewId="0">
      <selection activeCell="J8" sqref="J8"/>
    </sheetView>
  </sheetViews>
  <sheetFormatPr defaultColWidth="8.88888888888889" defaultRowHeight="14.4"/>
  <cols>
    <col min="1" max="1" width="4.33333333333333" style="31" customWidth="1"/>
    <col min="2" max="2" width="63.1111111111111" style="31" customWidth="1"/>
    <col min="3" max="3" width="6.55555555555556" style="31" customWidth="1"/>
    <col min="4" max="4" width="11.2222222222222" style="31" customWidth="1"/>
    <col min="5" max="5" width="12.8888888888889" style="31" customWidth="1"/>
    <col min="6" max="6" width="11" style="31" customWidth="1"/>
    <col min="7" max="7" width="14.5555555555556" style="31" customWidth="1"/>
    <col min="8" max="8" width="16.6666666666667" style="31" customWidth="1"/>
    <col min="9" max="9" width="13.7777777777778" style="31" customWidth="1"/>
    <col min="10" max="10" width="13.6666666666667" style="31" customWidth="1"/>
    <col min="11" max="11" width="16.4444444444444" style="31" customWidth="1"/>
    <col min="12" max="12" width="9.16666666666667" style="31" customWidth="1"/>
  </cols>
  <sheetData>
    <row r="1" ht="42" customHeight="1" spans="1:11">
      <c r="A1" s="5" t="s">
        <v>38</v>
      </c>
    </row>
    <row r="2" ht="15.6" customHeight="1" spans="1:11">
      <c r="A2" s="32" t="s">
        <v>1</v>
      </c>
      <c r="B2" s="33" t="s">
        <v>2</v>
      </c>
      <c r="C2" s="8" t="s">
        <v>3</v>
      </c>
      <c r="D2" s="9"/>
      <c r="E2" s="9"/>
      <c r="F2" s="9"/>
      <c r="G2" s="9"/>
      <c r="H2" s="9"/>
      <c r="I2" s="9"/>
      <c r="J2" s="9"/>
      <c r="K2" s="10"/>
    </row>
    <row r="3" ht="27.6" spans="1:11">
      <c r="A3" s="32"/>
      <c r="B3" s="33"/>
      <c r="C3" s="32" t="s">
        <v>4</v>
      </c>
      <c r="D3" s="32" t="s">
        <v>5</v>
      </c>
      <c r="E3" s="11" t="s">
        <v>6</v>
      </c>
      <c r="F3" s="11" t="s">
        <v>39</v>
      </c>
      <c r="G3" s="11" t="s">
        <v>40</v>
      </c>
      <c r="H3" s="45" t="s">
        <v>41</v>
      </c>
      <c r="I3" s="11" t="s">
        <v>42</v>
      </c>
      <c r="J3" s="34"/>
      <c r="K3" s="35" t="s">
        <v>12</v>
      </c>
    </row>
    <row r="4" ht="15.6" customHeight="1" spans="1:11">
      <c r="A4" s="14" t="s">
        <v>13</v>
      </c>
      <c r="B4" s="36" t="s">
        <v>14</v>
      </c>
      <c r="C4" s="27"/>
      <c r="D4" s="27"/>
      <c r="E4" s="20"/>
      <c r="F4" s="20"/>
      <c r="G4" s="20"/>
      <c r="H4" s="20"/>
      <c r="I4" s="46"/>
      <c r="J4" s="37"/>
      <c r="K4" s="38"/>
    </row>
    <row r="5" ht="25" customHeight="1" spans="1:11">
      <c r="A5" s="20">
        <v>1</v>
      </c>
      <c r="B5" s="21" t="s">
        <v>15</v>
      </c>
      <c r="C5" s="22" t="s">
        <v>16</v>
      </c>
      <c r="D5" s="20">
        <f>SUM(E5:I5)</f>
        <v>44600</v>
      </c>
      <c r="E5" s="20">
        <v>11000</v>
      </c>
      <c r="F5" s="20">
        <v>11000</v>
      </c>
      <c r="G5" s="20">
        <v>8500</v>
      </c>
      <c r="H5" s="20">
        <v>10000</v>
      </c>
      <c r="I5" s="20">
        <v>4100</v>
      </c>
      <c r="J5" s="39">
        <v>10000</v>
      </c>
      <c r="K5" s="38">
        <f t="shared" ref="K5:K18" si="0">J5*D5</f>
        <v>446000000</v>
      </c>
    </row>
    <row r="6" ht="38" customHeight="1" spans="1:11">
      <c r="A6" s="20">
        <v>2</v>
      </c>
      <c r="B6" s="40" t="s">
        <v>17</v>
      </c>
      <c r="C6" s="20" t="s">
        <v>18</v>
      </c>
      <c r="D6" s="20">
        <f>SUM(E6:I6)</f>
        <v>734</v>
      </c>
      <c r="E6" s="20">
        <v>181</v>
      </c>
      <c r="F6" s="20">
        <v>182</v>
      </c>
      <c r="G6" s="20">
        <v>138</v>
      </c>
      <c r="H6" s="20">
        <v>163</v>
      </c>
      <c r="I6" s="20">
        <v>70</v>
      </c>
      <c r="J6" s="39">
        <v>250000</v>
      </c>
      <c r="K6" s="38">
        <f t="shared" si="0"/>
        <v>183500000</v>
      </c>
    </row>
    <row r="7" ht="33" customHeight="1" spans="1:11">
      <c r="A7" s="20">
        <v>3</v>
      </c>
      <c r="B7" s="40" t="s">
        <v>19</v>
      </c>
      <c r="C7" s="20" t="s">
        <v>18</v>
      </c>
      <c r="D7" s="20">
        <f>SUM(E7:I7)</f>
        <v>183</v>
      </c>
      <c r="E7" s="20">
        <v>44</v>
      </c>
      <c r="F7" s="20">
        <v>46</v>
      </c>
      <c r="G7" s="20">
        <v>34</v>
      </c>
      <c r="H7" s="20">
        <v>42</v>
      </c>
      <c r="I7" s="20">
        <v>17</v>
      </c>
      <c r="J7" s="39">
        <v>300000</v>
      </c>
      <c r="K7" s="38">
        <f t="shared" si="0"/>
        <v>54900000</v>
      </c>
    </row>
    <row r="8" ht="33" customHeight="1" spans="1:11">
      <c r="A8" s="20">
        <v>4</v>
      </c>
      <c r="B8" s="40" t="s">
        <v>20</v>
      </c>
      <c r="C8" s="20" t="s">
        <v>21</v>
      </c>
      <c r="D8" s="20"/>
      <c r="E8" s="20"/>
      <c r="F8" s="20"/>
      <c r="G8" s="20"/>
      <c r="H8" s="20"/>
      <c r="I8" s="46"/>
      <c r="J8" s="39"/>
      <c r="K8" s="38">
        <f t="shared" si="0"/>
        <v>0</v>
      </c>
    </row>
    <row r="9" ht="33" customHeight="1" spans="1:11">
      <c r="A9" s="20">
        <v>5</v>
      </c>
      <c r="B9" s="21" t="s">
        <v>22</v>
      </c>
      <c r="C9" s="20" t="s">
        <v>23</v>
      </c>
      <c r="D9" s="20"/>
      <c r="E9" s="20"/>
      <c r="F9" s="20"/>
      <c r="G9" s="20"/>
      <c r="I9" s="46"/>
      <c r="J9" s="39"/>
      <c r="K9" s="38">
        <f t="shared" si="0"/>
        <v>0</v>
      </c>
    </row>
    <row r="10" ht="25" customHeight="1" spans="1:11">
      <c r="A10" s="20">
        <v>6</v>
      </c>
      <c r="B10" s="21" t="s">
        <v>24</v>
      </c>
      <c r="C10" s="20" t="s">
        <v>25</v>
      </c>
      <c r="D10" s="20"/>
      <c r="E10" s="20"/>
      <c r="F10" s="20"/>
      <c r="G10" s="20"/>
      <c r="H10" s="20"/>
      <c r="I10" s="46"/>
      <c r="J10" s="39"/>
      <c r="K10" s="38">
        <f t="shared" si="0"/>
        <v>0</v>
      </c>
    </row>
    <row r="11" ht="25" customHeight="1" spans="1:11">
      <c r="A11" s="20">
        <v>7</v>
      </c>
      <c r="B11" s="21" t="s">
        <v>26</v>
      </c>
      <c r="C11" s="20" t="s">
        <v>27</v>
      </c>
      <c r="D11" s="20"/>
      <c r="E11" s="20"/>
      <c r="F11" s="20"/>
      <c r="G11" s="20"/>
      <c r="H11" s="20"/>
      <c r="I11" s="46"/>
      <c r="J11" s="39"/>
      <c r="K11" s="38">
        <f t="shared" si="0"/>
        <v>0</v>
      </c>
    </row>
    <row r="12" ht="25" customHeight="1" spans="1:11">
      <c r="A12" s="5" t="s">
        <v>43</v>
      </c>
      <c r="B12" s="41" t="s">
        <v>28</v>
      </c>
      <c r="C12" s="14"/>
      <c r="D12" s="20"/>
      <c r="E12" s="20"/>
      <c r="F12" s="20"/>
      <c r="G12" s="20"/>
      <c r="H12" s="20"/>
      <c r="I12" s="46"/>
      <c r="J12" s="39"/>
      <c r="K12" s="38">
        <f t="shared" si="0"/>
        <v>0</v>
      </c>
    </row>
    <row r="13" ht="25" customHeight="1" spans="1:11">
      <c r="A13" s="20">
        <v>1</v>
      </c>
      <c r="B13" s="27" t="s">
        <v>29</v>
      </c>
      <c r="C13" s="20" t="s">
        <v>30</v>
      </c>
      <c r="D13" s="20"/>
      <c r="E13" s="20"/>
      <c r="F13" s="20"/>
      <c r="G13" s="20"/>
      <c r="H13" s="20"/>
      <c r="I13" s="46"/>
      <c r="J13" s="39"/>
      <c r="K13" s="38">
        <f t="shared" si="0"/>
        <v>0</v>
      </c>
    </row>
    <row r="14" ht="25" customHeight="1" spans="1:11">
      <c r="A14" s="20">
        <v>2</v>
      </c>
      <c r="B14" s="27" t="s">
        <v>31</v>
      </c>
      <c r="C14" s="20" t="s">
        <v>16</v>
      </c>
      <c r="D14" s="20"/>
      <c r="E14" s="20"/>
      <c r="F14" s="20"/>
      <c r="G14" s="20"/>
      <c r="H14" s="20"/>
      <c r="I14" s="46"/>
      <c r="J14" s="39"/>
      <c r="K14" s="38">
        <f t="shared" si="0"/>
        <v>0</v>
      </c>
    </row>
    <row r="15" ht="38" customHeight="1" spans="1:11">
      <c r="A15" s="20">
        <v>3</v>
      </c>
      <c r="B15" s="40" t="s">
        <v>32</v>
      </c>
      <c r="C15" s="20" t="s">
        <v>16</v>
      </c>
      <c r="D15" s="20"/>
      <c r="E15" s="20"/>
      <c r="F15" s="20"/>
      <c r="G15" s="20"/>
      <c r="H15" s="20"/>
      <c r="I15" s="46"/>
      <c r="J15" s="39"/>
      <c r="K15" s="38">
        <f t="shared" si="0"/>
        <v>0</v>
      </c>
    </row>
    <row r="16" ht="27" customHeight="1" spans="1:11">
      <c r="A16" s="20">
        <v>4</v>
      </c>
      <c r="B16" s="40" t="s">
        <v>33</v>
      </c>
      <c r="C16" s="20" t="s">
        <v>30</v>
      </c>
      <c r="D16" s="20"/>
      <c r="E16" s="20"/>
      <c r="F16" s="20"/>
      <c r="G16" s="20"/>
      <c r="H16" s="20"/>
      <c r="I16" s="46"/>
      <c r="J16" s="39"/>
      <c r="K16" s="38">
        <f t="shared" si="0"/>
        <v>0</v>
      </c>
    </row>
    <row r="17" ht="25" customHeight="1" spans="1:11">
      <c r="A17" s="20">
        <v>5</v>
      </c>
      <c r="B17" s="40" t="s">
        <v>34</v>
      </c>
      <c r="C17" s="20" t="s">
        <v>30</v>
      </c>
      <c r="D17" s="20"/>
      <c r="E17" s="20"/>
      <c r="F17" s="20"/>
      <c r="G17" s="20"/>
      <c r="H17" s="20"/>
      <c r="I17" s="46"/>
      <c r="J17" s="39"/>
      <c r="K17" s="38">
        <f t="shared" si="0"/>
        <v>0</v>
      </c>
    </row>
    <row r="18" ht="25" customHeight="1" spans="1:11">
      <c r="A18" s="20">
        <v>6</v>
      </c>
      <c r="B18" s="27" t="s">
        <v>35</v>
      </c>
      <c r="C18" s="20" t="s">
        <v>16</v>
      </c>
      <c r="D18" s="20"/>
      <c r="E18" s="20"/>
      <c r="F18" s="20"/>
      <c r="G18" s="20"/>
      <c r="H18" s="20"/>
      <c r="I18" s="46"/>
      <c r="J18" s="39"/>
      <c r="K18" s="38">
        <f t="shared" si="0"/>
        <v>0</v>
      </c>
    </row>
    <row r="19" ht="15.6" customHeight="1" spans="1:11">
      <c r="A19" s="20"/>
      <c r="B19" s="40"/>
      <c r="C19" s="20"/>
      <c r="D19" s="20"/>
      <c r="E19" s="27"/>
      <c r="F19" s="20"/>
      <c r="G19" s="20"/>
      <c r="H19" s="20"/>
      <c r="I19" s="46"/>
      <c r="J19" s="39"/>
      <c r="K19" s="38"/>
    </row>
    <row r="20" ht="15.6" customHeight="1" spans="1:11">
      <c r="E20" s="42" t="s">
        <v>36</v>
      </c>
      <c r="F20" s="43"/>
      <c r="G20" s="43"/>
      <c r="H20" s="43"/>
      <c r="I20" s="47"/>
      <c r="J20" s="44" t="s">
        <v>37</v>
      </c>
      <c r="K20" s="42">
        <f>SUM(K5:K19)</f>
        <v>684400000</v>
      </c>
    </row>
  </sheetData>
  <mergeCells count="2">
    <mergeCell ref="A1:K1"/>
    <mergeCell ref="C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G5" sqref="G5"/>
    </sheetView>
  </sheetViews>
  <sheetFormatPr defaultColWidth="8.88888888888889" defaultRowHeight="14.4"/>
  <cols>
    <col min="1" max="1" width="4.33333333333333" style="31" customWidth="1"/>
    <col min="2" max="2" width="63.1111111111111" style="31" customWidth="1"/>
    <col min="3" max="3" width="6.55555555555556" style="31" customWidth="1"/>
    <col min="4" max="4" width="11.2222222222222" style="31" customWidth="1"/>
    <col min="5" max="5" width="12.8888888888889" style="31" customWidth="1"/>
    <col min="6" max="6" width="9.22222222222222" style="31" customWidth="1"/>
    <col min="7" max="7" width="17.1111111111111" style="31" customWidth="1"/>
    <col min="8" max="8" width="8.77777777777778" style="31" customWidth="1"/>
    <col min="9" max="9" width="13.7777777777778" style="31" customWidth="1"/>
    <col min="10" max="10" width="9.16666666666667" style="31" customWidth="1"/>
  </cols>
  <sheetData>
    <row r="1" ht="42" customHeight="1" spans="1:9">
      <c r="A1" s="5" t="s">
        <v>44</v>
      </c>
    </row>
    <row r="2" ht="15.6" customHeight="1" spans="1:9">
      <c r="A2" s="32" t="s">
        <v>1</v>
      </c>
      <c r="B2" s="33" t="s">
        <v>2</v>
      </c>
      <c r="C2" s="8" t="s">
        <v>3</v>
      </c>
      <c r="D2" s="9"/>
      <c r="E2" s="9"/>
      <c r="F2" s="9"/>
      <c r="G2" s="9"/>
      <c r="H2" s="9"/>
      <c r="I2" s="10"/>
    </row>
    <row r="3" ht="15.6" customHeight="1" spans="1:9">
      <c r="A3" s="32"/>
      <c r="B3" s="33"/>
      <c r="C3" s="32" t="s">
        <v>4</v>
      </c>
      <c r="D3" s="32" t="s">
        <v>5</v>
      </c>
      <c r="E3" s="11" t="s">
        <v>45</v>
      </c>
      <c r="F3" s="11" t="s">
        <v>46</v>
      </c>
      <c r="G3" s="11" t="s">
        <v>7</v>
      </c>
      <c r="H3" s="34"/>
      <c r="I3" s="35" t="s">
        <v>12</v>
      </c>
    </row>
    <row r="4" ht="15.6" customHeight="1" spans="1:9">
      <c r="A4" s="14" t="s">
        <v>13</v>
      </c>
      <c r="B4" s="36" t="s">
        <v>14</v>
      </c>
      <c r="C4" s="27"/>
      <c r="D4" s="27"/>
      <c r="E4" s="20"/>
      <c r="F4" s="20"/>
      <c r="G4" s="20"/>
      <c r="H4" s="37"/>
      <c r="I4" s="38"/>
    </row>
    <row r="5" ht="25" customHeight="1" spans="1:9">
      <c r="A5" s="20">
        <v>1</v>
      </c>
      <c r="B5" s="21" t="s">
        <v>15</v>
      </c>
      <c r="C5" s="22" t="s">
        <v>16</v>
      </c>
      <c r="D5" s="20">
        <v>20300</v>
      </c>
      <c r="E5" s="20">
        <v>10000</v>
      </c>
      <c r="F5" s="20">
        <v>3600</v>
      </c>
      <c r="G5" s="20">
        <v>6900</v>
      </c>
      <c r="H5" s="39"/>
      <c r="I5" s="38">
        <f t="shared" ref="I5:I18" si="0">H5*D5</f>
        <v>0</v>
      </c>
    </row>
    <row r="6" ht="38" customHeight="1" spans="1:9">
      <c r="A6" s="20">
        <v>2</v>
      </c>
      <c r="B6" s="40" t="s">
        <v>17</v>
      </c>
      <c r="C6" s="20" t="s">
        <v>18</v>
      </c>
      <c r="D6" s="20">
        <f>SUM(E6:G6)</f>
        <v>339</v>
      </c>
      <c r="E6" s="20">
        <v>166</v>
      </c>
      <c r="F6" s="20">
        <v>58</v>
      </c>
      <c r="G6" s="20">
        <v>115</v>
      </c>
      <c r="H6" s="39"/>
      <c r="I6" s="38">
        <f t="shared" si="0"/>
        <v>0</v>
      </c>
    </row>
    <row r="7" ht="33" customHeight="1" spans="1:9">
      <c r="A7" s="20">
        <v>3</v>
      </c>
      <c r="B7" s="40" t="s">
        <v>19</v>
      </c>
      <c r="C7" s="20" t="s">
        <v>18</v>
      </c>
      <c r="D7" s="20">
        <f>SUM(E7:G7)</f>
        <v>87</v>
      </c>
      <c r="E7" s="20">
        <v>40</v>
      </c>
      <c r="F7" s="20">
        <v>15</v>
      </c>
      <c r="G7" s="20">
        <v>32</v>
      </c>
      <c r="H7" s="39"/>
      <c r="I7" s="38">
        <f t="shared" si="0"/>
        <v>0</v>
      </c>
    </row>
    <row r="8" ht="33" customHeight="1" spans="1:9">
      <c r="A8" s="20">
        <v>4</v>
      </c>
      <c r="B8" s="40" t="s">
        <v>20</v>
      </c>
      <c r="C8" s="20" t="s">
        <v>21</v>
      </c>
      <c r="D8" s="20"/>
      <c r="E8" s="20"/>
      <c r="F8" s="20"/>
      <c r="G8" s="20"/>
      <c r="H8" s="39"/>
      <c r="I8" s="38">
        <f t="shared" si="0"/>
        <v>0</v>
      </c>
    </row>
    <row r="9" ht="33" customHeight="1" spans="1:9">
      <c r="A9" s="20">
        <v>5</v>
      </c>
      <c r="B9" s="21" t="s">
        <v>22</v>
      </c>
      <c r="C9" s="20" t="s">
        <v>23</v>
      </c>
      <c r="D9" s="20"/>
      <c r="E9" s="20"/>
      <c r="F9" s="20"/>
      <c r="G9" s="20"/>
      <c r="H9" s="39"/>
      <c r="I9" s="38">
        <f t="shared" si="0"/>
        <v>0</v>
      </c>
    </row>
    <row r="10" ht="25" customHeight="1" spans="1:9">
      <c r="A10" s="20">
        <v>6</v>
      </c>
      <c r="B10" s="21" t="s">
        <v>24</v>
      </c>
      <c r="C10" s="20" t="s">
        <v>25</v>
      </c>
      <c r="D10" s="20"/>
      <c r="E10" s="20"/>
      <c r="F10" s="20"/>
      <c r="G10" s="20"/>
      <c r="H10" s="39"/>
      <c r="I10" s="38">
        <f t="shared" si="0"/>
        <v>0</v>
      </c>
    </row>
    <row r="11" ht="25" customHeight="1" spans="1:9">
      <c r="A11" s="20">
        <v>7</v>
      </c>
      <c r="B11" s="21" t="s">
        <v>26</v>
      </c>
      <c r="C11" s="20" t="s">
        <v>27</v>
      </c>
      <c r="D11" s="20"/>
      <c r="E11" s="20"/>
      <c r="F11" s="20"/>
      <c r="G11" s="20"/>
      <c r="H11" s="39"/>
      <c r="I11" s="38">
        <f t="shared" si="0"/>
        <v>0</v>
      </c>
    </row>
    <row r="12" ht="25" customHeight="1" spans="1:9">
      <c r="A12" s="5" t="s">
        <v>43</v>
      </c>
      <c r="B12" s="41" t="s">
        <v>28</v>
      </c>
      <c r="C12" s="14"/>
      <c r="D12" s="20"/>
      <c r="E12" s="20"/>
      <c r="F12" s="20"/>
      <c r="G12" s="20"/>
      <c r="H12" s="39"/>
      <c r="I12" s="38">
        <f t="shared" si="0"/>
        <v>0</v>
      </c>
    </row>
    <row r="13" ht="25" customHeight="1" spans="1:9">
      <c r="A13" s="20">
        <v>1</v>
      </c>
      <c r="B13" s="27" t="s">
        <v>29</v>
      </c>
      <c r="C13" s="20" t="s">
        <v>30</v>
      </c>
      <c r="D13" s="20"/>
      <c r="E13" s="20"/>
      <c r="F13" s="20"/>
      <c r="G13" s="20"/>
      <c r="H13" s="39"/>
      <c r="I13" s="38">
        <f t="shared" si="0"/>
        <v>0</v>
      </c>
    </row>
    <row r="14" ht="25" customHeight="1" spans="1:9">
      <c r="A14" s="20">
        <v>2</v>
      </c>
      <c r="B14" s="27" t="s">
        <v>31</v>
      </c>
      <c r="C14" s="20" t="s">
        <v>16</v>
      </c>
      <c r="D14" s="20"/>
      <c r="E14" s="20"/>
      <c r="F14" s="20"/>
      <c r="G14" s="20"/>
      <c r="H14" s="39"/>
      <c r="I14" s="38">
        <f t="shared" si="0"/>
        <v>0</v>
      </c>
    </row>
    <row r="15" ht="38" customHeight="1" spans="1:9">
      <c r="A15" s="20">
        <v>3</v>
      </c>
      <c r="B15" s="40" t="s">
        <v>32</v>
      </c>
      <c r="C15" s="20" t="s">
        <v>16</v>
      </c>
      <c r="D15" s="20"/>
      <c r="E15" s="20"/>
      <c r="F15" s="20"/>
      <c r="G15" s="20"/>
      <c r="H15" s="39"/>
      <c r="I15" s="38">
        <f t="shared" si="0"/>
        <v>0</v>
      </c>
    </row>
    <row r="16" ht="27" customHeight="1" spans="1:9">
      <c r="A16" s="20">
        <v>4</v>
      </c>
      <c r="B16" s="40" t="s">
        <v>33</v>
      </c>
      <c r="C16" s="20" t="s">
        <v>30</v>
      </c>
      <c r="D16" s="20"/>
      <c r="E16" s="20"/>
      <c r="F16" s="20"/>
      <c r="G16" s="20"/>
      <c r="H16" s="39"/>
      <c r="I16" s="38">
        <f t="shared" si="0"/>
        <v>0</v>
      </c>
    </row>
    <row r="17" ht="25" customHeight="1" spans="1:9">
      <c r="A17" s="20">
        <v>5</v>
      </c>
      <c r="B17" s="40" t="s">
        <v>34</v>
      </c>
      <c r="C17" s="20" t="s">
        <v>30</v>
      </c>
      <c r="D17" s="20"/>
      <c r="E17" s="20"/>
      <c r="F17" s="20"/>
      <c r="G17" s="20"/>
      <c r="H17" s="39"/>
      <c r="I17" s="38">
        <f t="shared" si="0"/>
        <v>0</v>
      </c>
    </row>
    <row r="18" ht="25" customHeight="1" spans="1:9">
      <c r="A18" s="20">
        <v>6</v>
      </c>
      <c r="B18" s="27" t="s">
        <v>35</v>
      </c>
      <c r="C18" s="20" t="s">
        <v>16</v>
      </c>
      <c r="D18" s="20"/>
      <c r="E18" s="20"/>
      <c r="F18" s="20"/>
      <c r="G18" s="20"/>
      <c r="H18" s="39"/>
      <c r="I18" s="38">
        <f t="shared" si="0"/>
        <v>0</v>
      </c>
    </row>
    <row r="19" ht="15.6" customHeight="1" spans="1:9">
      <c r="A19" s="20"/>
      <c r="B19" s="40"/>
      <c r="C19" s="20"/>
      <c r="D19" s="20"/>
      <c r="E19" s="27"/>
      <c r="F19" s="20"/>
      <c r="G19" s="20"/>
      <c r="H19" s="39"/>
      <c r="I19" s="38"/>
    </row>
    <row r="20" ht="15.6" customHeight="1" spans="1:9">
      <c r="E20" s="42" t="s">
        <v>36</v>
      </c>
      <c r="F20" s="43"/>
      <c r="G20" s="43"/>
      <c r="H20" s="44" t="s">
        <v>37</v>
      </c>
      <c r="I20" s="42">
        <f>SUM(I5:I19)</f>
        <v>0</v>
      </c>
    </row>
  </sheetData>
  <mergeCells count="2">
    <mergeCell ref="A1:I1"/>
    <mergeCell ref="C2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E6" sqref="E6"/>
    </sheetView>
  </sheetViews>
  <sheetFormatPr defaultColWidth="8.88888888888889" defaultRowHeight="14.4"/>
  <cols>
    <col min="1" max="1" width="4.33333333333333" style="31" customWidth="1"/>
    <col min="2" max="2" width="63.1111111111111" style="31" customWidth="1"/>
    <col min="3" max="3" width="6.55555555555556" style="31" customWidth="1"/>
    <col min="4" max="4" width="11.2222222222222" style="31" customWidth="1"/>
    <col min="5" max="5" width="13.7777777777778" style="31" customWidth="1"/>
    <col min="6" max="6" width="10.6666666666667" style="31" customWidth="1"/>
    <col min="7" max="7" width="12" style="31" customWidth="1"/>
    <col min="8" max="8" width="15.4444444444444" style="31" customWidth="1"/>
    <col min="9" max="9" width="8.77777777777778" style="31" customWidth="1"/>
    <col min="10" max="10" width="13.7777777777778" style="31" customWidth="1"/>
    <col min="11" max="11" width="9.16666666666667" style="31" customWidth="1"/>
  </cols>
  <sheetData>
    <row r="1" ht="42" customHeight="1" spans="1:10">
      <c r="A1" s="5" t="s">
        <v>47</v>
      </c>
    </row>
    <row r="2" ht="15.6" customHeight="1" spans="1:10">
      <c r="A2" s="32" t="s">
        <v>1</v>
      </c>
      <c r="B2" s="33" t="s">
        <v>2</v>
      </c>
      <c r="C2" s="8" t="s">
        <v>3</v>
      </c>
      <c r="D2" s="9"/>
      <c r="E2" s="9"/>
      <c r="F2" s="9"/>
      <c r="G2" s="9"/>
      <c r="H2" s="9"/>
      <c r="I2" s="9"/>
      <c r="J2" s="10"/>
    </row>
    <row r="3" ht="15.6" customHeight="1" spans="1:10">
      <c r="A3" s="32"/>
      <c r="B3" s="33"/>
      <c r="C3" s="32" t="s">
        <v>4</v>
      </c>
      <c r="D3" s="32" t="s">
        <v>5</v>
      </c>
      <c r="E3" s="11" t="s">
        <v>48</v>
      </c>
      <c r="F3" s="11" t="s">
        <v>49</v>
      </c>
      <c r="G3" s="11" t="s">
        <v>50</v>
      </c>
      <c r="H3" s="11" t="s">
        <v>51</v>
      </c>
      <c r="I3" s="34"/>
      <c r="J3" s="35" t="s">
        <v>12</v>
      </c>
    </row>
    <row r="4" ht="15.6" customHeight="1" spans="1:10">
      <c r="A4" s="14" t="s">
        <v>13</v>
      </c>
      <c r="B4" s="36" t="s">
        <v>14</v>
      </c>
      <c r="C4" s="27"/>
      <c r="D4" s="27"/>
      <c r="E4" s="20"/>
      <c r="F4" s="20"/>
      <c r="G4" s="20"/>
      <c r="H4" s="20"/>
      <c r="I4" s="37"/>
      <c r="J4" s="38"/>
    </row>
    <row r="5" ht="25" customHeight="1" spans="1:10">
      <c r="A5" s="20">
        <v>1</v>
      </c>
      <c r="B5" s="21" t="s">
        <v>15</v>
      </c>
      <c r="C5" s="22" t="s">
        <v>16</v>
      </c>
      <c r="D5" s="20">
        <f>SUM(E5:H5)</f>
        <v>36600</v>
      </c>
      <c r="E5" s="20">
        <v>7300</v>
      </c>
      <c r="F5" s="20">
        <v>15000</v>
      </c>
      <c r="G5" s="20">
        <v>11000</v>
      </c>
      <c r="H5" s="20">
        <v>3300</v>
      </c>
      <c r="I5" s="39"/>
      <c r="J5" s="38">
        <f t="shared" ref="J5:J18" si="0">I5*D5</f>
        <v>0</v>
      </c>
    </row>
    <row r="6" ht="38" customHeight="1" spans="1:10">
      <c r="A6" s="20">
        <v>2</v>
      </c>
      <c r="B6" s="40" t="s">
        <v>17</v>
      </c>
      <c r="C6" s="20" t="s">
        <v>18</v>
      </c>
      <c r="D6" s="20">
        <f>SUM(E6:H6)</f>
        <v>584</v>
      </c>
      <c r="E6" s="20">
        <v>119</v>
      </c>
      <c r="F6" s="20">
        <v>244</v>
      </c>
      <c r="G6" s="20">
        <v>168</v>
      </c>
      <c r="H6" s="20">
        <v>53</v>
      </c>
      <c r="I6" s="39"/>
      <c r="J6" s="38">
        <f t="shared" si="0"/>
        <v>0</v>
      </c>
    </row>
    <row r="7" ht="33" customHeight="1" spans="1:10">
      <c r="A7" s="20">
        <v>3</v>
      </c>
      <c r="B7" s="40" t="s">
        <v>19</v>
      </c>
      <c r="C7" s="20" t="s">
        <v>18</v>
      </c>
      <c r="D7" s="20">
        <f>SUM(E7:H7)</f>
        <v>146</v>
      </c>
      <c r="E7" s="20">
        <v>30</v>
      </c>
      <c r="F7" s="20">
        <v>62</v>
      </c>
      <c r="G7" s="20">
        <v>44</v>
      </c>
      <c r="H7" s="20">
        <v>10</v>
      </c>
      <c r="I7" s="39"/>
      <c r="J7" s="38">
        <f t="shared" si="0"/>
        <v>0</v>
      </c>
    </row>
    <row r="8" ht="33" customHeight="1" spans="1:10">
      <c r="A8" s="20">
        <v>4</v>
      </c>
      <c r="B8" s="40" t="s">
        <v>20</v>
      </c>
      <c r="C8" s="20" t="s">
        <v>21</v>
      </c>
      <c r="D8" s="20"/>
      <c r="E8" s="20"/>
      <c r="F8" s="20"/>
      <c r="G8" s="20"/>
      <c r="H8" s="20"/>
      <c r="I8" s="39"/>
      <c r="J8" s="38">
        <f t="shared" si="0"/>
        <v>0</v>
      </c>
    </row>
    <row r="9" ht="33" customHeight="1" spans="1:10">
      <c r="A9" s="20">
        <v>5</v>
      </c>
      <c r="B9" s="21" t="s">
        <v>22</v>
      </c>
      <c r="C9" s="20" t="s">
        <v>23</v>
      </c>
      <c r="D9" s="20"/>
      <c r="E9" s="20"/>
      <c r="F9" s="20"/>
      <c r="G9" s="20"/>
      <c r="I9" s="39"/>
      <c r="J9" s="38">
        <f t="shared" si="0"/>
        <v>0</v>
      </c>
    </row>
    <row r="10" ht="25" customHeight="1" spans="1:10">
      <c r="A10" s="20">
        <v>6</v>
      </c>
      <c r="B10" s="21" t="s">
        <v>24</v>
      </c>
      <c r="C10" s="20" t="s">
        <v>25</v>
      </c>
      <c r="D10" s="20"/>
      <c r="E10" s="20"/>
      <c r="F10" s="20"/>
      <c r="G10" s="20"/>
      <c r="H10" s="20"/>
      <c r="I10" s="39"/>
      <c r="J10" s="38">
        <f t="shared" si="0"/>
        <v>0</v>
      </c>
    </row>
    <row r="11" ht="25" customHeight="1" spans="1:10">
      <c r="A11" s="20">
        <v>7</v>
      </c>
      <c r="B11" s="21" t="s">
        <v>26</v>
      </c>
      <c r="C11" s="20" t="s">
        <v>27</v>
      </c>
      <c r="D11" s="20"/>
      <c r="E11" s="20"/>
      <c r="F11" s="20"/>
      <c r="G11" s="20"/>
      <c r="H11" s="20"/>
      <c r="I11" s="39"/>
      <c r="J11" s="38">
        <f t="shared" si="0"/>
        <v>0</v>
      </c>
    </row>
    <row r="12" ht="25" customHeight="1" spans="1:10">
      <c r="A12" s="5" t="s">
        <v>43</v>
      </c>
      <c r="B12" s="41" t="s">
        <v>28</v>
      </c>
      <c r="C12" s="14"/>
      <c r="D12" s="20"/>
      <c r="E12" s="20"/>
      <c r="F12" s="20"/>
      <c r="G12" s="20"/>
      <c r="H12" s="20"/>
      <c r="I12" s="39"/>
      <c r="J12" s="38">
        <f t="shared" si="0"/>
        <v>0</v>
      </c>
    </row>
    <row r="13" ht="25" customHeight="1" spans="1:10">
      <c r="A13" s="20">
        <v>1</v>
      </c>
      <c r="B13" s="27" t="s">
        <v>29</v>
      </c>
      <c r="C13" s="20" t="s">
        <v>30</v>
      </c>
      <c r="D13" s="20"/>
      <c r="E13" s="20"/>
      <c r="F13" s="20"/>
      <c r="G13" s="20"/>
      <c r="H13" s="20"/>
      <c r="I13" s="39"/>
      <c r="J13" s="38">
        <f t="shared" si="0"/>
        <v>0</v>
      </c>
    </row>
    <row r="14" ht="25" customHeight="1" spans="1:10">
      <c r="A14" s="20">
        <v>2</v>
      </c>
      <c r="B14" s="27" t="s">
        <v>31</v>
      </c>
      <c r="C14" s="20" t="s">
        <v>16</v>
      </c>
      <c r="D14" s="20"/>
      <c r="E14" s="20"/>
      <c r="F14" s="20"/>
      <c r="G14" s="20"/>
      <c r="H14" s="20"/>
      <c r="I14" s="39"/>
      <c r="J14" s="38">
        <f t="shared" si="0"/>
        <v>0</v>
      </c>
    </row>
    <row r="15" ht="38" customHeight="1" spans="1:10">
      <c r="A15" s="20">
        <v>3</v>
      </c>
      <c r="B15" s="40" t="s">
        <v>32</v>
      </c>
      <c r="C15" s="20" t="s">
        <v>16</v>
      </c>
      <c r="D15" s="20"/>
      <c r="E15" s="20"/>
      <c r="F15" s="20"/>
      <c r="G15" s="20"/>
      <c r="H15" s="20"/>
      <c r="I15" s="39"/>
      <c r="J15" s="38">
        <f t="shared" si="0"/>
        <v>0</v>
      </c>
    </row>
    <row r="16" ht="27" customHeight="1" spans="1:10">
      <c r="A16" s="20">
        <v>4</v>
      </c>
      <c r="B16" s="40" t="s">
        <v>33</v>
      </c>
      <c r="C16" s="20" t="s">
        <v>30</v>
      </c>
      <c r="D16" s="20"/>
      <c r="E16" s="20"/>
      <c r="F16" s="20"/>
      <c r="G16" s="20"/>
      <c r="H16" s="20"/>
      <c r="I16" s="39"/>
      <c r="J16" s="38">
        <f t="shared" si="0"/>
        <v>0</v>
      </c>
    </row>
    <row r="17" ht="25" customHeight="1" spans="1:10">
      <c r="A17" s="20">
        <v>5</v>
      </c>
      <c r="B17" s="40" t="s">
        <v>34</v>
      </c>
      <c r="C17" s="20" t="s">
        <v>30</v>
      </c>
      <c r="D17" s="20"/>
      <c r="E17" s="20"/>
      <c r="F17" s="20"/>
      <c r="G17" s="20"/>
      <c r="H17" s="20"/>
      <c r="I17" s="39"/>
      <c r="J17" s="38">
        <f t="shared" si="0"/>
        <v>0</v>
      </c>
    </row>
    <row r="18" ht="25" customHeight="1" spans="1:10">
      <c r="A18" s="20">
        <v>6</v>
      </c>
      <c r="B18" s="27" t="s">
        <v>35</v>
      </c>
      <c r="C18" s="20" t="s">
        <v>16</v>
      </c>
      <c r="D18" s="20"/>
      <c r="E18" s="20"/>
      <c r="F18" s="20"/>
      <c r="G18" s="20"/>
      <c r="H18" s="20"/>
      <c r="I18" s="39"/>
      <c r="J18" s="38">
        <f t="shared" si="0"/>
        <v>0</v>
      </c>
    </row>
    <row r="19" ht="15.6" customHeight="1" spans="1:10">
      <c r="A19" s="20"/>
      <c r="B19" s="40"/>
      <c r="C19" s="20"/>
      <c r="D19" s="20"/>
      <c r="E19" s="27"/>
      <c r="F19" s="20"/>
      <c r="G19" s="20"/>
      <c r="H19" s="20"/>
      <c r="I19" s="39"/>
      <c r="J19" s="38"/>
    </row>
    <row r="20" ht="15.6" customHeight="1" spans="1:10">
      <c r="E20" s="42" t="s">
        <v>36</v>
      </c>
      <c r="F20" s="43"/>
      <c r="G20" s="43"/>
      <c r="H20" s="43"/>
      <c r="I20" s="44" t="s">
        <v>37</v>
      </c>
      <c r="J20" s="42">
        <f>SUM(J5:J19)</f>
        <v>0</v>
      </c>
    </row>
  </sheetData>
  <mergeCells count="2">
    <mergeCell ref="A1:J1"/>
    <mergeCell ref="C2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I5" sqref="I5"/>
    </sheetView>
  </sheetViews>
  <sheetFormatPr defaultColWidth="8.88888888888889" defaultRowHeight="14.4"/>
  <cols>
    <col min="1" max="1" width="4.33333333333333" style="31" customWidth="1"/>
    <col min="2" max="2" width="63.1111111111111" style="31" customWidth="1"/>
    <col min="3" max="3" width="6.55555555555556" style="31" customWidth="1"/>
    <col min="4" max="4" width="11.2222222222222" style="31" customWidth="1"/>
    <col min="5" max="5" width="12.8888888888889" style="31" customWidth="1"/>
    <col min="6" max="6" width="15" style="31" customWidth="1"/>
    <col min="7" max="7" width="14.8888888888889" style="31" customWidth="1"/>
    <col min="8" max="8" width="12.5555555555556" style="31" customWidth="1"/>
    <col min="9" max="9" width="8.77777777777778" style="31" customWidth="1"/>
    <col min="10" max="10" width="13.7777777777778" style="31" customWidth="1"/>
    <col min="11" max="11" width="9.16666666666667" style="31" customWidth="1"/>
  </cols>
  <sheetData>
    <row r="1" ht="42" customHeight="1" spans="1:10">
      <c r="A1" s="5" t="s">
        <v>52</v>
      </c>
    </row>
    <row r="2" ht="15.6" customHeight="1" spans="1:10">
      <c r="A2" s="32" t="s">
        <v>1</v>
      </c>
      <c r="B2" s="33" t="s">
        <v>2</v>
      </c>
      <c r="C2" s="8" t="s">
        <v>3</v>
      </c>
      <c r="D2" s="9"/>
      <c r="E2" s="9"/>
      <c r="F2" s="9"/>
      <c r="G2" s="9"/>
      <c r="H2" s="9"/>
      <c r="I2" s="9"/>
      <c r="J2" s="10"/>
    </row>
    <row r="3" ht="15.6" customHeight="1" spans="1:10">
      <c r="A3" s="32"/>
      <c r="B3" s="33"/>
      <c r="C3" s="32" t="s">
        <v>4</v>
      </c>
      <c r="D3" s="32" t="s">
        <v>5</v>
      </c>
      <c r="E3" s="11" t="s">
        <v>53</v>
      </c>
      <c r="F3" s="11" t="s">
        <v>9</v>
      </c>
      <c r="G3" s="11" t="s">
        <v>54</v>
      </c>
      <c r="H3" s="11" t="s">
        <v>55</v>
      </c>
      <c r="I3" s="34"/>
      <c r="J3" s="35" t="s">
        <v>12</v>
      </c>
    </row>
    <row r="4" ht="15.6" customHeight="1" spans="1:10">
      <c r="A4" s="14" t="s">
        <v>13</v>
      </c>
      <c r="B4" s="36" t="s">
        <v>14</v>
      </c>
      <c r="C4" s="27"/>
      <c r="D4" s="27"/>
      <c r="E4" s="20"/>
      <c r="F4" s="20"/>
      <c r="G4" s="20"/>
      <c r="H4" s="20"/>
      <c r="I4" s="37"/>
      <c r="J4" s="38"/>
    </row>
    <row r="5" ht="25" customHeight="1" spans="1:10">
      <c r="A5" s="20">
        <v>1</v>
      </c>
      <c r="B5" s="21" t="s">
        <v>15</v>
      </c>
      <c r="C5" s="22" t="s">
        <v>16</v>
      </c>
      <c r="D5" s="20">
        <f>SUM(E5:H5)</f>
        <v>36100</v>
      </c>
      <c r="E5" s="20">
        <v>3100</v>
      </c>
      <c r="F5" s="20">
        <v>6000</v>
      </c>
      <c r="G5" s="20">
        <v>23500</v>
      </c>
      <c r="H5" s="20">
        <v>3500</v>
      </c>
      <c r="I5" s="39"/>
      <c r="J5" s="38">
        <f t="shared" ref="J5:J18" si="0">I5*D5</f>
        <v>0</v>
      </c>
    </row>
    <row r="6" ht="38" customHeight="1" spans="1:10">
      <c r="A6" s="20">
        <v>2</v>
      </c>
      <c r="B6" s="40" t="s">
        <v>17</v>
      </c>
      <c r="C6" s="20" t="s">
        <v>18</v>
      </c>
      <c r="D6" s="20">
        <f>SUM(E6:H6)</f>
        <v>588</v>
      </c>
      <c r="E6" s="20">
        <v>51</v>
      </c>
      <c r="F6" s="20">
        <v>96</v>
      </c>
      <c r="G6" s="20">
        <v>386</v>
      </c>
      <c r="H6" s="20">
        <v>55</v>
      </c>
      <c r="I6" s="39"/>
      <c r="J6" s="38">
        <f t="shared" si="0"/>
        <v>0</v>
      </c>
    </row>
    <row r="7" ht="33" customHeight="1" spans="1:10">
      <c r="A7" s="20">
        <v>3</v>
      </c>
      <c r="B7" s="40" t="s">
        <v>19</v>
      </c>
      <c r="C7" s="20" t="s">
        <v>18</v>
      </c>
      <c r="D7" s="20">
        <f>SUM(E7:H7)</f>
        <v>150</v>
      </c>
      <c r="E7" s="20">
        <v>12</v>
      </c>
      <c r="F7" s="20">
        <v>22</v>
      </c>
      <c r="G7" s="20">
        <v>104</v>
      </c>
      <c r="H7" s="20">
        <v>12</v>
      </c>
      <c r="I7" s="39"/>
      <c r="J7" s="38">
        <f t="shared" si="0"/>
        <v>0</v>
      </c>
    </row>
    <row r="8" ht="33" customHeight="1" spans="1:10">
      <c r="A8" s="20">
        <v>4</v>
      </c>
      <c r="B8" s="40" t="s">
        <v>20</v>
      </c>
      <c r="C8" s="20" t="s">
        <v>21</v>
      </c>
      <c r="D8" s="20"/>
      <c r="E8" s="20"/>
      <c r="F8" s="20"/>
      <c r="G8" s="20"/>
      <c r="H8" s="20"/>
      <c r="I8" s="39"/>
      <c r="J8" s="38">
        <f t="shared" si="0"/>
        <v>0</v>
      </c>
    </row>
    <row r="9" ht="33" customHeight="1" spans="1:10">
      <c r="A9" s="20">
        <v>5</v>
      </c>
      <c r="B9" s="21" t="s">
        <v>22</v>
      </c>
      <c r="C9" s="20" t="s">
        <v>23</v>
      </c>
      <c r="D9" s="20"/>
      <c r="E9" s="20"/>
      <c r="F9" s="20"/>
      <c r="G9" s="20"/>
      <c r="I9" s="39"/>
      <c r="J9" s="38">
        <f t="shared" si="0"/>
        <v>0</v>
      </c>
    </row>
    <row r="10" ht="25" customHeight="1" spans="1:10">
      <c r="A10" s="20">
        <v>6</v>
      </c>
      <c r="B10" s="21" t="s">
        <v>24</v>
      </c>
      <c r="C10" s="20" t="s">
        <v>25</v>
      </c>
      <c r="D10" s="20"/>
      <c r="E10" s="20"/>
      <c r="F10" s="20"/>
      <c r="G10" s="20"/>
      <c r="H10" s="20"/>
      <c r="I10" s="39"/>
      <c r="J10" s="38">
        <f t="shared" si="0"/>
        <v>0</v>
      </c>
    </row>
    <row r="11" ht="25" customHeight="1" spans="1:10">
      <c r="A11" s="20">
        <v>7</v>
      </c>
      <c r="B11" s="21" t="s">
        <v>26</v>
      </c>
      <c r="C11" s="20" t="s">
        <v>27</v>
      </c>
      <c r="D11" s="20"/>
      <c r="E11" s="20"/>
      <c r="F11" s="20"/>
      <c r="G11" s="20"/>
      <c r="H11" s="20"/>
      <c r="I11" s="39"/>
      <c r="J11" s="38">
        <f t="shared" si="0"/>
        <v>0</v>
      </c>
    </row>
    <row r="12" ht="25" customHeight="1" spans="1:10">
      <c r="A12" s="5" t="s">
        <v>43</v>
      </c>
      <c r="B12" s="41" t="s">
        <v>28</v>
      </c>
      <c r="C12" s="14"/>
      <c r="D12" s="20"/>
      <c r="E12" s="20"/>
      <c r="F12" s="20"/>
      <c r="G12" s="20"/>
      <c r="H12" s="20"/>
      <c r="I12" s="39"/>
      <c r="J12" s="38">
        <f t="shared" si="0"/>
        <v>0</v>
      </c>
    </row>
    <row r="13" ht="25" customHeight="1" spans="1:10">
      <c r="A13" s="20">
        <v>1</v>
      </c>
      <c r="B13" s="27" t="s">
        <v>29</v>
      </c>
      <c r="C13" s="20" t="s">
        <v>30</v>
      </c>
      <c r="D13" s="20"/>
      <c r="E13" s="20"/>
      <c r="F13" s="20"/>
      <c r="G13" s="20"/>
      <c r="H13" s="20"/>
      <c r="I13" s="39"/>
      <c r="J13" s="38">
        <f t="shared" si="0"/>
        <v>0</v>
      </c>
    </row>
    <row r="14" ht="25" customHeight="1" spans="1:10">
      <c r="A14" s="20">
        <v>2</v>
      </c>
      <c r="B14" s="27" t="s">
        <v>31</v>
      </c>
      <c r="C14" s="20" t="s">
        <v>16</v>
      </c>
      <c r="D14" s="20"/>
      <c r="E14" s="20"/>
      <c r="F14" s="20"/>
      <c r="G14" s="20"/>
      <c r="H14" s="20"/>
      <c r="I14" s="39"/>
      <c r="J14" s="38">
        <f t="shared" si="0"/>
        <v>0</v>
      </c>
    </row>
    <row r="15" ht="38" customHeight="1" spans="1:10">
      <c r="A15" s="20">
        <v>3</v>
      </c>
      <c r="B15" s="40" t="s">
        <v>32</v>
      </c>
      <c r="C15" s="20" t="s">
        <v>16</v>
      </c>
      <c r="D15" s="20"/>
      <c r="E15" s="20"/>
      <c r="F15" s="20"/>
      <c r="G15" s="20"/>
      <c r="H15" s="20"/>
      <c r="I15" s="39"/>
      <c r="J15" s="38">
        <f t="shared" si="0"/>
        <v>0</v>
      </c>
    </row>
    <row r="16" ht="27" customHeight="1" spans="1:10">
      <c r="A16" s="20">
        <v>4</v>
      </c>
      <c r="B16" s="40" t="s">
        <v>33</v>
      </c>
      <c r="C16" s="20" t="s">
        <v>30</v>
      </c>
      <c r="D16" s="20"/>
      <c r="E16" s="20"/>
      <c r="F16" s="20"/>
      <c r="G16" s="20"/>
      <c r="H16" s="20"/>
      <c r="I16" s="39"/>
      <c r="J16" s="38">
        <f t="shared" si="0"/>
        <v>0</v>
      </c>
    </row>
    <row r="17" ht="25" customHeight="1" spans="1:10">
      <c r="A17" s="20">
        <v>5</v>
      </c>
      <c r="B17" s="40" t="s">
        <v>34</v>
      </c>
      <c r="C17" s="20" t="s">
        <v>30</v>
      </c>
      <c r="D17" s="20"/>
      <c r="E17" s="20"/>
      <c r="F17" s="20"/>
      <c r="G17" s="20"/>
      <c r="H17" s="20"/>
      <c r="I17" s="39"/>
      <c r="J17" s="38">
        <f t="shared" si="0"/>
        <v>0</v>
      </c>
    </row>
    <row r="18" ht="25" customHeight="1" spans="1:10">
      <c r="A18" s="20">
        <v>6</v>
      </c>
      <c r="B18" s="27" t="s">
        <v>35</v>
      </c>
      <c r="C18" s="20" t="s">
        <v>16</v>
      </c>
      <c r="D18" s="20"/>
      <c r="E18" s="20"/>
      <c r="F18" s="20"/>
      <c r="G18" s="20"/>
      <c r="H18" s="20"/>
      <c r="I18" s="39"/>
      <c r="J18" s="38">
        <f t="shared" si="0"/>
        <v>0</v>
      </c>
    </row>
    <row r="19" ht="15.6" customHeight="1" spans="1:10">
      <c r="A19" s="20"/>
      <c r="B19" s="40"/>
      <c r="C19" s="20"/>
      <c r="D19" s="20"/>
      <c r="E19" s="27"/>
      <c r="F19" s="20"/>
      <c r="G19" s="20"/>
      <c r="H19" s="20"/>
      <c r="I19" s="39"/>
      <c r="J19" s="38"/>
    </row>
    <row r="20" ht="15.6" customHeight="1" spans="1:10">
      <c r="E20" s="42" t="s">
        <v>36</v>
      </c>
      <c r="F20" s="43"/>
      <c r="G20" s="43"/>
      <c r="H20" s="43"/>
      <c r="I20" s="44" t="s">
        <v>37</v>
      </c>
      <c r="J20" s="42">
        <f>SUM(J5:J19)</f>
        <v>0</v>
      </c>
    </row>
  </sheetData>
  <mergeCells count="2">
    <mergeCell ref="A1:J1"/>
    <mergeCell ref="C2:J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5" sqref="G5"/>
    </sheetView>
  </sheetViews>
  <sheetFormatPr defaultColWidth="8.88888888888889" defaultRowHeight="14.4" outlineLevelCol="7"/>
  <cols>
    <col min="1" max="1" width="4.33333333333333" style="31" customWidth="1"/>
    <col min="2" max="2" width="63.1111111111111" style="31" customWidth="1"/>
    <col min="3" max="3" width="6.55555555555556" style="31" customWidth="1"/>
    <col min="4" max="4" width="11.2222222222222" style="31" customWidth="1"/>
    <col min="5" max="5" width="18.6666666666667" style="31" customWidth="1"/>
    <col min="6" max="6" width="10.2222222222222" style="31" customWidth="1"/>
    <col min="7" max="8" width="12.4444444444444" style="31" customWidth="1"/>
    <col min="9" max="9" width="9.16666666666667" style="31" customWidth="1"/>
  </cols>
  <sheetData>
    <row r="1" ht="42" customHeight="1" spans="1:8">
      <c r="A1" s="5" t="s">
        <v>56</v>
      </c>
    </row>
    <row r="2" ht="15.6" customHeight="1" spans="1:8">
      <c r="A2" s="32" t="s">
        <v>1</v>
      </c>
      <c r="B2" s="33" t="s">
        <v>2</v>
      </c>
      <c r="C2" s="8" t="s">
        <v>3</v>
      </c>
      <c r="D2" s="9"/>
      <c r="E2" s="9"/>
      <c r="F2" s="9"/>
      <c r="G2" s="9"/>
      <c r="H2" s="10"/>
    </row>
    <row r="3" ht="15.6" customHeight="1" spans="1:8">
      <c r="A3" s="32"/>
      <c r="B3" s="33"/>
      <c r="C3" s="32" t="s">
        <v>4</v>
      </c>
      <c r="D3" s="32" t="s">
        <v>5</v>
      </c>
      <c r="E3" s="11" t="s">
        <v>57</v>
      </c>
      <c r="F3" s="11" t="s">
        <v>10</v>
      </c>
      <c r="G3" s="34"/>
      <c r="H3" s="35" t="s">
        <v>12</v>
      </c>
    </row>
    <row r="4" ht="15.6" customHeight="1" spans="1:8">
      <c r="A4" s="14" t="s">
        <v>13</v>
      </c>
      <c r="B4" s="36" t="s">
        <v>14</v>
      </c>
      <c r="C4" s="27"/>
      <c r="D4" s="27"/>
      <c r="E4" s="20"/>
      <c r="F4" s="20"/>
      <c r="G4" s="37"/>
      <c r="H4" s="38"/>
    </row>
    <row r="5" ht="25" customHeight="1" spans="1:8">
      <c r="A5" s="20">
        <v>1</v>
      </c>
      <c r="B5" s="21" t="s">
        <v>15</v>
      </c>
      <c r="C5" s="22" t="s">
        <v>16</v>
      </c>
      <c r="D5" s="20">
        <f>SUM(E5:F5)</f>
        <v>53000</v>
      </c>
      <c r="E5" s="20">
        <v>13000</v>
      </c>
      <c r="F5" s="20">
        <v>40000</v>
      </c>
      <c r="G5" s="39"/>
      <c r="H5" s="38">
        <f t="shared" ref="H5:H18" si="0">G5*D5</f>
        <v>0</v>
      </c>
    </row>
    <row r="6" ht="38" customHeight="1" spans="1:8">
      <c r="A6" s="20">
        <v>2</v>
      </c>
      <c r="B6" s="40" t="s">
        <v>17</v>
      </c>
      <c r="C6" s="20" t="s">
        <v>18</v>
      </c>
      <c r="D6" s="20">
        <f>SUM(E6:F6)</f>
        <v>866</v>
      </c>
      <c r="E6" s="20">
        <v>207</v>
      </c>
      <c r="F6" s="20">
        <v>659</v>
      </c>
      <c r="G6" s="39"/>
      <c r="H6" s="38">
        <f t="shared" si="0"/>
        <v>0</v>
      </c>
    </row>
    <row r="7" ht="33" customHeight="1" spans="1:8">
      <c r="A7" s="20">
        <v>3</v>
      </c>
      <c r="B7" s="40" t="s">
        <v>19</v>
      </c>
      <c r="C7" s="20" t="s">
        <v>18</v>
      </c>
      <c r="D7" s="20">
        <f>SUM(E7:F7)</f>
        <v>188</v>
      </c>
      <c r="E7" s="20">
        <v>46</v>
      </c>
      <c r="F7" s="20">
        <v>142</v>
      </c>
      <c r="G7" s="39"/>
      <c r="H7" s="38">
        <f t="shared" si="0"/>
        <v>0</v>
      </c>
    </row>
    <row r="8" ht="33" customHeight="1" spans="1:8">
      <c r="A8" s="20">
        <v>4</v>
      </c>
      <c r="B8" s="40" t="s">
        <v>20</v>
      </c>
      <c r="C8" s="20" t="s">
        <v>21</v>
      </c>
      <c r="D8" s="20"/>
      <c r="E8" s="20"/>
      <c r="F8" s="20"/>
      <c r="G8" s="39"/>
      <c r="H8" s="38">
        <f t="shared" si="0"/>
        <v>0</v>
      </c>
    </row>
    <row r="9" ht="33" customHeight="1" spans="1:8">
      <c r="A9" s="20">
        <v>5</v>
      </c>
      <c r="B9" s="21" t="s">
        <v>22</v>
      </c>
      <c r="C9" s="20" t="s">
        <v>23</v>
      </c>
      <c r="D9" s="20"/>
      <c r="E9" s="20"/>
      <c r="F9" s="20"/>
      <c r="G9" s="39"/>
      <c r="H9" s="38">
        <f t="shared" si="0"/>
        <v>0</v>
      </c>
    </row>
    <row r="10" ht="25" customHeight="1" spans="1:8">
      <c r="A10" s="20">
        <v>6</v>
      </c>
      <c r="B10" s="21" t="s">
        <v>24</v>
      </c>
      <c r="C10" s="20" t="s">
        <v>25</v>
      </c>
      <c r="D10" s="20"/>
      <c r="E10" s="20"/>
      <c r="F10" s="20"/>
      <c r="G10" s="39"/>
      <c r="H10" s="38">
        <f t="shared" si="0"/>
        <v>0</v>
      </c>
    </row>
    <row r="11" ht="25" customHeight="1" spans="1:8">
      <c r="A11" s="20">
        <v>7</v>
      </c>
      <c r="B11" s="21" t="s">
        <v>26</v>
      </c>
      <c r="C11" s="20" t="s">
        <v>27</v>
      </c>
      <c r="D11" s="20"/>
      <c r="E11" s="20"/>
      <c r="F11" s="20"/>
      <c r="G11" s="39"/>
      <c r="H11" s="38">
        <f t="shared" si="0"/>
        <v>0</v>
      </c>
    </row>
    <row r="12" ht="25" customHeight="1" spans="1:8">
      <c r="A12" s="5" t="s">
        <v>43</v>
      </c>
      <c r="B12" s="41" t="s">
        <v>28</v>
      </c>
      <c r="C12" s="14"/>
      <c r="D12" s="20"/>
      <c r="E12" s="20"/>
      <c r="F12" s="20"/>
      <c r="G12" s="39"/>
      <c r="H12" s="38">
        <f t="shared" si="0"/>
        <v>0</v>
      </c>
    </row>
    <row r="13" ht="25" customHeight="1" spans="1:8">
      <c r="A13" s="20">
        <v>1</v>
      </c>
      <c r="B13" s="27" t="s">
        <v>29</v>
      </c>
      <c r="C13" s="20" t="s">
        <v>30</v>
      </c>
      <c r="D13" s="20"/>
      <c r="E13" s="20"/>
      <c r="F13" s="20"/>
      <c r="G13" s="39"/>
      <c r="H13" s="38">
        <f t="shared" si="0"/>
        <v>0</v>
      </c>
    </row>
    <row r="14" ht="25" customHeight="1" spans="1:8">
      <c r="A14" s="20">
        <v>2</v>
      </c>
      <c r="B14" s="27" t="s">
        <v>31</v>
      </c>
      <c r="C14" s="20" t="s">
        <v>16</v>
      </c>
      <c r="D14" s="20"/>
      <c r="E14" s="20"/>
      <c r="F14" s="20"/>
      <c r="G14" s="39"/>
      <c r="H14" s="38">
        <f t="shared" si="0"/>
        <v>0</v>
      </c>
    </row>
    <row r="15" ht="38" customHeight="1" spans="1:8">
      <c r="A15" s="20">
        <v>3</v>
      </c>
      <c r="B15" s="40" t="s">
        <v>32</v>
      </c>
      <c r="C15" s="20" t="s">
        <v>16</v>
      </c>
      <c r="D15" s="20"/>
      <c r="E15" s="20"/>
      <c r="F15" s="20"/>
      <c r="G15" s="39"/>
      <c r="H15" s="38">
        <f t="shared" si="0"/>
        <v>0</v>
      </c>
    </row>
    <row r="16" ht="27" customHeight="1" spans="1:8">
      <c r="A16" s="20">
        <v>4</v>
      </c>
      <c r="B16" s="40" t="s">
        <v>33</v>
      </c>
      <c r="C16" s="20" t="s">
        <v>30</v>
      </c>
      <c r="D16" s="20"/>
      <c r="E16" s="20"/>
      <c r="F16" s="20"/>
      <c r="G16" s="39"/>
      <c r="H16" s="38">
        <f t="shared" si="0"/>
        <v>0</v>
      </c>
    </row>
    <row r="17" ht="25" customHeight="1" spans="1:8">
      <c r="A17" s="20">
        <v>5</v>
      </c>
      <c r="B17" s="40" t="s">
        <v>34</v>
      </c>
      <c r="C17" s="20" t="s">
        <v>30</v>
      </c>
      <c r="D17" s="20"/>
      <c r="E17" s="20"/>
      <c r="F17" s="20"/>
      <c r="G17" s="39"/>
      <c r="H17" s="38">
        <f t="shared" si="0"/>
        <v>0</v>
      </c>
    </row>
    <row r="18" ht="25" customHeight="1" spans="1:8">
      <c r="A18" s="20">
        <v>6</v>
      </c>
      <c r="B18" s="27" t="s">
        <v>35</v>
      </c>
      <c r="C18" s="20" t="s">
        <v>16</v>
      </c>
      <c r="D18" s="20"/>
      <c r="E18" s="20"/>
      <c r="F18" s="20"/>
      <c r="G18" s="39"/>
      <c r="H18" s="38">
        <f t="shared" si="0"/>
        <v>0</v>
      </c>
    </row>
    <row r="19" ht="15.6" customHeight="1" spans="1:8">
      <c r="A19" s="20"/>
      <c r="B19" s="40"/>
      <c r="C19" s="20"/>
      <c r="D19" s="20"/>
      <c r="E19" s="27"/>
      <c r="F19" s="20"/>
      <c r="G19" s="39"/>
      <c r="H19" s="38"/>
    </row>
    <row r="20" ht="15.6" customHeight="1" spans="1:8">
      <c r="E20" s="42" t="s">
        <v>36</v>
      </c>
      <c r="F20" s="43"/>
      <c r="G20" s="44" t="s">
        <v>37</v>
      </c>
      <c r="H20" s="42">
        <f>SUM(H5:H19)</f>
        <v>0</v>
      </c>
    </row>
  </sheetData>
  <mergeCells count="2">
    <mergeCell ref="A1:H1"/>
    <mergeCell ref="C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G5" sqref="G5"/>
    </sheetView>
  </sheetViews>
  <sheetFormatPr defaultColWidth="9.16666666666667" defaultRowHeight="20" customHeight="1" outlineLevelCol="7"/>
  <cols>
    <col min="1" max="1" width="4.33333333333333" style="1" customWidth="1"/>
    <col min="2" max="2" width="63.1111111111111" style="2" customWidth="1"/>
    <col min="3" max="3" width="6.55555555555556" style="3" customWidth="1"/>
    <col min="4" max="4" width="11.2222222222222" style="3" customWidth="1"/>
    <col min="5" max="5" width="12.8888888888889" style="3" customWidth="1"/>
    <col min="6" max="6" width="14.1111111111111" style="1" customWidth="1"/>
    <col min="7" max="7" width="13.5833333333333" style="4" customWidth="1"/>
    <col min="8" max="8" width="13.5833333333333" style="3" customWidth="1"/>
    <col min="9" max="16384" width="9.16666666666667" style="3" customWidth="1"/>
  </cols>
  <sheetData>
    <row r="1" ht="42" customHeight="1" spans="1:8">
      <c r="A1" s="5" t="s">
        <v>58</v>
      </c>
    </row>
    <row r="2" ht="15.6" customHeight="1" spans="1:8">
      <c r="A2" s="6" t="s">
        <v>1</v>
      </c>
      <c r="B2" s="7" t="s">
        <v>2</v>
      </c>
      <c r="C2" s="8" t="s">
        <v>3</v>
      </c>
      <c r="D2" s="9"/>
      <c r="E2" s="9"/>
      <c r="F2" s="9"/>
      <c r="G2" s="9"/>
      <c r="H2" s="10"/>
    </row>
    <row r="3" ht="15.6" customHeight="1" spans="1:8">
      <c r="A3" s="6"/>
      <c r="B3" s="7"/>
      <c r="C3" s="6" t="s">
        <v>4</v>
      </c>
      <c r="D3" s="6" t="s">
        <v>5</v>
      </c>
      <c r="E3" s="11" t="s">
        <v>59</v>
      </c>
      <c r="F3" s="11" t="s">
        <v>11</v>
      </c>
      <c r="G3" s="12"/>
      <c r="H3" s="13" t="s">
        <v>12</v>
      </c>
    </row>
    <row r="4" ht="15.6" customHeight="1" spans="1:8">
      <c r="A4" s="14" t="s">
        <v>13</v>
      </c>
      <c r="B4" s="15" t="s">
        <v>14</v>
      </c>
      <c r="C4" s="16"/>
      <c r="D4" s="16"/>
      <c r="E4" s="17"/>
      <c r="F4" s="17"/>
      <c r="G4" s="18"/>
      <c r="H4" s="19"/>
    </row>
    <row r="5" ht="25" customHeight="1" spans="1:8">
      <c r="A5" s="20">
        <v>1</v>
      </c>
      <c r="B5" s="21" t="s">
        <v>15</v>
      </c>
      <c r="C5" s="22" t="s">
        <v>16</v>
      </c>
      <c r="D5" s="17">
        <f>SUM(E5:F5)</f>
        <v>10199</v>
      </c>
      <c r="E5" s="20">
        <v>3600</v>
      </c>
      <c r="F5" s="20">
        <v>6599</v>
      </c>
      <c r="G5" s="23"/>
      <c r="H5" s="19">
        <f t="shared" ref="H5:H18" si="0">G5*D5</f>
        <v>0</v>
      </c>
    </row>
    <row r="6" ht="38" customHeight="1" spans="1:8">
      <c r="A6" s="20">
        <v>2</v>
      </c>
      <c r="B6" s="24" t="s">
        <v>17</v>
      </c>
      <c r="C6" s="17" t="s">
        <v>18</v>
      </c>
      <c r="D6" s="17">
        <f>SUM(E6:F6)</f>
        <v>163</v>
      </c>
      <c r="E6" s="20">
        <v>58</v>
      </c>
      <c r="F6" s="20">
        <v>105</v>
      </c>
      <c r="G6" s="23"/>
      <c r="H6" s="19">
        <f t="shared" si="0"/>
        <v>0</v>
      </c>
    </row>
    <row r="7" ht="33" customHeight="1" spans="1:8">
      <c r="A7" s="20">
        <v>3</v>
      </c>
      <c r="B7" s="24" t="s">
        <v>19</v>
      </c>
      <c r="C7" s="17" t="s">
        <v>18</v>
      </c>
      <c r="D7" s="17">
        <f>SUM(E7:F7)</f>
        <v>36</v>
      </c>
      <c r="E7" s="20">
        <v>12</v>
      </c>
      <c r="F7" s="20">
        <v>24</v>
      </c>
      <c r="G7" s="23"/>
      <c r="H7" s="19">
        <f t="shared" si="0"/>
        <v>0</v>
      </c>
    </row>
    <row r="8" ht="33" customHeight="1" spans="1:8">
      <c r="A8" s="20">
        <v>4</v>
      </c>
      <c r="B8" s="24" t="s">
        <v>20</v>
      </c>
      <c r="C8" s="17" t="s">
        <v>21</v>
      </c>
      <c r="D8" s="17"/>
      <c r="E8" s="20"/>
      <c r="F8" s="20"/>
      <c r="G8" s="23"/>
      <c r="H8" s="19">
        <f t="shared" si="0"/>
        <v>0</v>
      </c>
    </row>
    <row r="9" ht="33" customHeight="1" spans="1:8">
      <c r="A9" s="20">
        <v>5</v>
      </c>
      <c r="B9" s="21" t="s">
        <v>22</v>
      </c>
      <c r="C9" s="17" t="s">
        <v>23</v>
      </c>
      <c r="D9" s="17"/>
      <c r="E9" s="20"/>
      <c r="F9" s="20"/>
      <c r="G9" s="23"/>
      <c r="H9" s="19">
        <f t="shared" si="0"/>
        <v>0</v>
      </c>
    </row>
    <row r="10" ht="25" customHeight="1" spans="1:8">
      <c r="A10" s="20">
        <v>6</v>
      </c>
      <c r="B10" s="21" t="s">
        <v>24</v>
      </c>
      <c r="C10" s="17" t="s">
        <v>25</v>
      </c>
      <c r="D10" s="17"/>
      <c r="E10" s="20"/>
      <c r="F10" s="20"/>
      <c r="G10" s="23"/>
      <c r="H10" s="19">
        <f t="shared" si="0"/>
        <v>0</v>
      </c>
    </row>
    <row r="11" ht="25" customHeight="1" spans="1:8">
      <c r="A11" s="20">
        <v>7</v>
      </c>
      <c r="B11" s="21" t="s">
        <v>26</v>
      </c>
      <c r="C11" s="17" t="s">
        <v>27</v>
      </c>
      <c r="D11" s="17"/>
      <c r="E11" s="20"/>
      <c r="F11" s="20"/>
      <c r="G11" s="23"/>
      <c r="H11" s="19">
        <f t="shared" si="0"/>
        <v>0</v>
      </c>
    </row>
    <row r="12" ht="25" customHeight="1" spans="1:8">
      <c r="A12" s="5" t="s">
        <v>43</v>
      </c>
      <c r="B12" s="25" t="s">
        <v>28</v>
      </c>
      <c r="C12" s="26"/>
      <c r="D12" s="17"/>
      <c r="E12" s="20"/>
      <c r="F12" s="20"/>
      <c r="G12" s="23"/>
      <c r="H12" s="19">
        <f t="shared" si="0"/>
        <v>0</v>
      </c>
    </row>
    <row r="13" ht="25" customHeight="1" spans="1:8">
      <c r="A13" s="20">
        <v>1</v>
      </c>
      <c r="B13" s="16" t="s">
        <v>29</v>
      </c>
      <c r="C13" s="17" t="s">
        <v>30</v>
      </c>
      <c r="D13" s="17"/>
      <c r="E13" s="20"/>
      <c r="F13" s="20"/>
      <c r="G13" s="23"/>
      <c r="H13" s="19">
        <f t="shared" si="0"/>
        <v>0</v>
      </c>
    </row>
    <row r="14" ht="25" customHeight="1" spans="1:8">
      <c r="A14" s="20">
        <v>2</v>
      </c>
      <c r="B14" s="16" t="s">
        <v>31</v>
      </c>
      <c r="C14" s="17" t="s">
        <v>16</v>
      </c>
      <c r="D14" s="17"/>
      <c r="E14" s="20"/>
      <c r="F14" s="20"/>
      <c r="G14" s="23"/>
      <c r="H14" s="19">
        <f t="shared" si="0"/>
        <v>0</v>
      </c>
    </row>
    <row r="15" ht="38" customHeight="1" spans="1:8">
      <c r="A15" s="20">
        <v>3</v>
      </c>
      <c r="B15" s="24" t="s">
        <v>32</v>
      </c>
      <c r="C15" s="17" t="s">
        <v>16</v>
      </c>
      <c r="D15" s="17"/>
      <c r="E15" s="20"/>
      <c r="F15" s="20"/>
      <c r="G15" s="23"/>
      <c r="H15" s="19">
        <f t="shared" si="0"/>
        <v>0</v>
      </c>
    </row>
    <row r="16" ht="27" customHeight="1" spans="1:8">
      <c r="A16" s="20">
        <v>4</v>
      </c>
      <c r="B16" s="24" t="s">
        <v>33</v>
      </c>
      <c r="C16" s="17" t="s">
        <v>30</v>
      </c>
      <c r="D16" s="17"/>
      <c r="E16" s="20"/>
      <c r="F16" s="20"/>
      <c r="G16" s="23"/>
      <c r="H16" s="19">
        <f t="shared" si="0"/>
        <v>0</v>
      </c>
    </row>
    <row r="17" ht="25" customHeight="1" spans="1:8">
      <c r="A17" s="20">
        <v>5</v>
      </c>
      <c r="B17" s="24" t="s">
        <v>34</v>
      </c>
      <c r="C17" s="17" t="s">
        <v>30</v>
      </c>
      <c r="D17" s="17"/>
      <c r="E17" s="20"/>
      <c r="F17" s="20"/>
      <c r="G17" s="23"/>
      <c r="H17" s="19">
        <f t="shared" si="0"/>
        <v>0</v>
      </c>
    </row>
    <row r="18" ht="25" customHeight="1" spans="1:8">
      <c r="A18" s="20">
        <v>6</v>
      </c>
      <c r="B18" s="16" t="s">
        <v>35</v>
      </c>
      <c r="C18" s="17" t="s">
        <v>16</v>
      </c>
      <c r="D18" s="17"/>
      <c r="E18" s="20"/>
      <c r="F18" s="20"/>
      <c r="G18" s="23"/>
      <c r="H18" s="19">
        <f t="shared" si="0"/>
        <v>0</v>
      </c>
    </row>
    <row r="19" ht="15.6" customHeight="1" spans="1:8">
      <c r="A19" s="20"/>
      <c r="B19" s="24"/>
      <c r="C19" s="17"/>
      <c r="D19" s="17"/>
      <c r="E19" s="27"/>
      <c r="F19" s="20"/>
      <c r="G19" s="23"/>
      <c r="H19" s="19"/>
    </row>
    <row r="20" ht="15.6" customHeight="1" spans="1:8">
      <c r="E20" s="28" t="s">
        <v>36</v>
      </c>
      <c r="F20" s="29"/>
      <c r="G20" s="30" t="s">
        <v>37</v>
      </c>
      <c r="H20" s="28">
        <f>SUM(H5:H19)</f>
        <v>0</v>
      </c>
    </row>
  </sheetData>
  <mergeCells count="2">
    <mergeCell ref="A1:H1"/>
    <mergeCell ref="C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MASTER</vt:lpstr>
      <vt:lpstr>BREBES</vt:lpstr>
      <vt:lpstr>TASIKMALAYA</vt:lpstr>
      <vt:lpstr>PURWOKERTO</vt:lpstr>
      <vt:lpstr>SUKOHARJO</vt:lpstr>
      <vt:lpstr>SRAGEN</vt:lpstr>
      <vt:lpstr>GROBOGAN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</dc:creator>
  <cp:lastModifiedBy>Dimas Aji Prasetyo</cp:lastModifiedBy>
  <dcterms:created xsi:type="dcterms:W3CDTF">2025-07-21T08:10:00Z</dcterms:created>
  <dcterms:modified xsi:type="dcterms:W3CDTF">2026-05-05T02:31:47Z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2ABF8D2871D748BDA9A73FB167A2BE95_11</vt:lpwstr>
  </property>
  <property fmtid="{D5CDD505-2E9C-101B-9397-08002B2CF9AE}" pid="3" name="KSOProductBuildVer">
    <vt:lpwstr>1057-12.1.0.25862</vt:lpwstr>
  </property>
  <property fmtid="{D5CDD505-2E9C-101B-9397-08002B2CF9AE}" pid="4" name="CalculationRule">
    <vt:i4>0</vt:i4>
  </property>
</Properties>
</file>